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arkley_g\Desktop\"/>
    </mc:Choice>
  </mc:AlternateContent>
  <bookViews>
    <workbookView xWindow="0" yWindow="0" windowWidth="4776" windowHeight="3408" tabRatio="657" firstSheet="3" activeTab="9"/>
  </bookViews>
  <sheets>
    <sheet name="Data" sheetId="11" r:id="rId1"/>
    <sheet name="Bulb data" sheetId="12" r:id="rId2"/>
    <sheet name="Rig" sheetId="10" r:id="rId3"/>
    <sheet name="YD 40 VCG" sheetId="9" r:id="rId4"/>
    <sheet name="Initial Boat Data" sheetId="7" r:id="rId5"/>
    <sheet name="Fixed Keel RM's" sheetId="1" state="hidden" r:id="rId6"/>
    <sheet name="Initial Rig Data" sheetId="8" r:id="rId7"/>
    <sheet name="Hull RM's" sheetId="2" r:id="rId8"/>
    <sheet name="Sail Force HM's " sheetId="3" r:id="rId9"/>
    <sheet name="Speed &amp; Leeway Predictor" sheetId="5" r:id="rId10"/>
    <sheet name="RESULTS PAGE" sheetId="6" r:id="rId11"/>
  </sheets>
  <definedNames>
    <definedName name="masts">Data!$J$5:$O$15</definedName>
    <definedName name="solver_eng" localSheetId="9" hidden="1">1</definedName>
    <definedName name="solver_neg" localSheetId="9" hidden="1">1</definedName>
    <definedName name="solver_num" localSheetId="9" hidden="1">0</definedName>
    <definedName name="solver_opt" localSheetId="9" hidden="1">'Speed &amp; Leeway Predictor'!$G$366</definedName>
    <definedName name="solver_typ" localSheetId="9" hidden="1">1</definedName>
    <definedName name="solver_val" localSheetId="9" hidden="1">0</definedName>
    <definedName name="solver_ver" localSheetId="9" hidden="1">3</definedName>
    <definedName name="Wire">Data!$B$5:$H$23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69" i="5" l="1"/>
  <c r="B32" i="7" l="1"/>
  <c r="H36" i="7" s="1"/>
  <c r="F38" i="7"/>
  <c r="AF38" i="7"/>
  <c r="AG40" i="7"/>
  <c r="W41" i="7"/>
  <c r="S43" i="7"/>
  <c r="AI43" i="7"/>
  <c r="J45" i="7"/>
  <c r="Y45" i="7"/>
  <c r="AA46" i="7"/>
  <c r="AK46" i="7"/>
  <c r="J11" i="3"/>
  <c r="A16" i="8"/>
  <c r="A13" i="8"/>
  <c r="A14" i="8"/>
  <c r="A15" i="8"/>
  <c r="A19" i="8"/>
  <c r="A20" i="8"/>
  <c r="A21" i="8"/>
  <c r="S106" i="5"/>
  <c r="S120" i="5" s="1"/>
  <c r="G4" i="5"/>
  <c r="K35" i="7"/>
  <c r="G6" i="5"/>
  <c r="G5" i="5"/>
  <c r="AE35" i="7"/>
  <c r="H10" i="3"/>
  <c r="I10" i="3" s="1"/>
  <c r="J10" i="3" s="1"/>
  <c r="K10" i="3" s="1"/>
  <c r="L10" i="3" s="1"/>
  <c r="M10" i="3" s="1"/>
  <c r="N10" i="3" s="1"/>
  <c r="O10" i="3" s="1"/>
  <c r="J9" i="3"/>
  <c r="J8" i="3"/>
  <c r="D12" i="6" s="1"/>
  <c r="A50" i="5"/>
  <c r="D87" i="5"/>
  <c r="D88" i="5"/>
  <c r="D89" i="5"/>
  <c r="A51" i="5"/>
  <c r="A71" i="5" s="1"/>
  <c r="A52" i="5"/>
  <c r="A72" i="5"/>
  <c r="A112" i="5" s="1"/>
  <c r="H112" i="5" s="1"/>
  <c r="A53" i="5"/>
  <c r="A73" i="5" s="1"/>
  <c r="A54" i="5"/>
  <c r="A74" i="5"/>
  <c r="A114" i="5" s="1"/>
  <c r="A55" i="5"/>
  <c r="A75" i="5" s="1"/>
  <c r="A115" i="5" s="1"/>
  <c r="H115" i="5" s="1"/>
  <c r="A56" i="5"/>
  <c r="A76" i="5" s="1"/>
  <c r="A116" i="5" s="1"/>
  <c r="C87" i="5"/>
  <c r="C88" i="5"/>
  <c r="C89" i="5"/>
  <c r="B87" i="5"/>
  <c r="B88" i="5"/>
  <c r="B89" i="5"/>
  <c r="L12" i="8"/>
  <c r="M6" i="8"/>
  <c r="M7" i="8"/>
  <c r="C33" i="6"/>
  <c r="C32" i="6"/>
  <c r="C31" i="6"/>
  <c r="C30" i="6"/>
  <c r="C29" i="6"/>
  <c r="C28" i="6"/>
  <c r="C27" i="6"/>
  <c r="C26" i="6"/>
  <c r="C25" i="6"/>
  <c r="F24" i="6"/>
  <c r="C24" i="6"/>
  <c r="F23" i="6"/>
  <c r="C23" i="6"/>
  <c r="F22" i="6"/>
  <c r="C22" i="6"/>
  <c r="F21" i="6"/>
  <c r="C21" i="6"/>
  <c r="F20" i="6"/>
  <c r="C20" i="6"/>
  <c r="F19" i="6"/>
  <c r="C19" i="6"/>
  <c r="F18" i="6"/>
  <c r="C18" i="6"/>
  <c r="F17" i="6"/>
  <c r="D17" i="6"/>
  <c r="D16" i="6"/>
  <c r="C16" i="6"/>
  <c r="F14" i="6"/>
  <c r="D13" i="6"/>
  <c r="F12" i="6"/>
  <c r="F11" i="6"/>
  <c r="D11" i="6"/>
  <c r="F10" i="6"/>
  <c r="F9" i="6"/>
  <c r="F8" i="6"/>
  <c r="D8" i="6"/>
  <c r="E6" i="6"/>
  <c r="E185" i="5"/>
  <c r="E200" i="5" s="1"/>
  <c r="E215" i="5" s="1"/>
  <c r="D185" i="5"/>
  <c r="D200" i="5"/>
  <c r="D215" i="5" s="1"/>
  <c r="C185" i="5"/>
  <c r="C200" i="5" s="1"/>
  <c r="C215" i="5" s="1"/>
  <c r="B185" i="5"/>
  <c r="B200" i="5"/>
  <c r="B215" i="5" s="1"/>
  <c r="L138" i="5"/>
  <c r="W169" i="5" s="1"/>
  <c r="W184" i="5" s="1"/>
  <c r="W199" i="5" s="1"/>
  <c r="W214" i="5" s="1"/>
  <c r="E138" i="5"/>
  <c r="E152" i="5" s="1"/>
  <c r="T169" i="5"/>
  <c r="T184" i="5" s="1"/>
  <c r="T199" i="5" s="1"/>
  <c r="T214" i="5" s="1"/>
  <c r="Z106" i="5"/>
  <c r="L106" i="5"/>
  <c r="K169" i="5"/>
  <c r="K184" i="5" s="1"/>
  <c r="K199" i="5" s="1"/>
  <c r="K214" i="5" s="1"/>
  <c r="Z138" i="5"/>
  <c r="AC169" i="5" s="1"/>
  <c r="AC184" i="5" s="1"/>
  <c r="AC199" i="5" s="1"/>
  <c r="AC214" i="5" s="1"/>
  <c r="S138" i="5"/>
  <c r="S152" i="5" s="1"/>
  <c r="E106" i="5"/>
  <c r="AA153" i="5"/>
  <c r="Z153" i="5"/>
  <c r="Y153" i="5"/>
  <c r="X153" i="5"/>
  <c r="T153" i="5"/>
  <c r="S153" i="5"/>
  <c r="R153" i="5"/>
  <c r="Q153" i="5"/>
  <c r="M153" i="5"/>
  <c r="L153" i="5"/>
  <c r="K153" i="5"/>
  <c r="J153" i="5"/>
  <c r="F153" i="5"/>
  <c r="E153" i="5"/>
  <c r="D153" i="5"/>
  <c r="C153" i="5"/>
  <c r="AA152" i="5"/>
  <c r="Y152" i="5"/>
  <c r="T152" i="5"/>
  <c r="R152" i="5"/>
  <c r="M152" i="5"/>
  <c r="K152" i="5"/>
  <c r="F152" i="5"/>
  <c r="D152" i="5"/>
  <c r="AA121" i="5"/>
  <c r="Z121" i="5"/>
  <c r="Y121" i="5"/>
  <c r="X121" i="5"/>
  <c r="T121" i="5"/>
  <c r="S121" i="5"/>
  <c r="R121" i="5"/>
  <c r="Q121" i="5"/>
  <c r="M121" i="5"/>
  <c r="L121" i="5"/>
  <c r="K121" i="5"/>
  <c r="J121" i="5"/>
  <c r="F121" i="5"/>
  <c r="E121" i="5"/>
  <c r="D121" i="5"/>
  <c r="C121" i="5"/>
  <c r="B67" i="5"/>
  <c r="B107" i="5" s="1"/>
  <c r="AA120" i="5"/>
  <c r="Y120" i="5"/>
  <c r="T120" i="5"/>
  <c r="R120" i="5"/>
  <c r="M120" i="5"/>
  <c r="L120" i="5"/>
  <c r="K120" i="5"/>
  <c r="F120" i="5"/>
  <c r="D120" i="5"/>
  <c r="A67" i="5"/>
  <c r="A107" i="5" s="1"/>
  <c r="A48" i="5"/>
  <c r="A68" i="5"/>
  <c r="A108" i="5" s="1"/>
  <c r="A58" i="5"/>
  <c r="A78" i="5" s="1"/>
  <c r="A118" i="5" s="1"/>
  <c r="H118" i="5" s="1"/>
  <c r="A57" i="5"/>
  <c r="V57" i="5" s="1"/>
  <c r="V56" i="5"/>
  <c r="V51" i="5"/>
  <c r="A49" i="5"/>
  <c r="V49" i="5" s="1"/>
  <c r="V48" i="5"/>
  <c r="G18" i="3"/>
  <c r="G15" i="3"/>
  <c r="G14" i="3"/>
  <c r="O11" i="3"/>
  <c r="N11" i="3"/>
  <c r="M11" i="3"/>
  <c r="L11" i="3"/>
  <c r="K11" i="3"/>
  <c r="I11" i="3"/>
  <c r="H11" i="3"/>
  <c r="O9" i="3"/>
  <c r="N9" i="3"/>
  <c r="M9" i="3"/>
  <c r="L9" i="3"/>
  <c r="K9" i="3"/>
  <c r="I9" i="3"/>
  <c r="H9" i="3"/>
  <c r="O8" i="3"/>
  <c r="N8" i="3"/>
  <c r="M8" i="3"/>
  <c r="L8" i="3"/>
  <c r="K8" i="3"/>
  <c r="I8" i="3"/>
  <c r="H8" i="3"/>
  <c r="E6" i="3"/>
  <c r="E5" i="3"/>
  <c r="P4" i="3"/>
  <c r="E4" i="3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M5" i="2"/>
  <c r="B37" i="8"/>
  <c r="B36" i="8"/>
  <c r="B35" i="8"/>
  <c r="B34" i="8"/>
  <c r="B33" i="8"/>
  <c r="B32" i="8"/>
  <c r="B31" i="8"/>
  <c r="B30" i="8"/>
  <c r="B29" i="8"/>
  <c r="B28" i="8"/>
  <c r="A18" i="8"/>
  <c r="A17" i="8"/>
  <c r="A12" i="8"/>
  <c r="F39" i="1"/>
  <c r="C39" i="1"/>
  <c r="C40" i="1" s="1"/>
  <c r="C28" i="1"/>
  <c r="C29" i="1" s="1"/>
  <c r="F35" i="1" s="1"/>
  <c r="F19" i="1"/>
  <c r="C19" i="1"/>
  <c r="F14" i="1"/>
  <c r="C14" i="1"/>
  <c r="F13" i="1"/>
  <c r="C13" i="1"/>
  <c r="F12" i="1"/>
  <c r="F2" i="1"/>
  <c r="D57" i="7"/>
  <c r="B55" i="7"/>
  <c r="C54" i="7"/>
  <c r="C51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L20" i="7"/>
  <c r="K20" i="7"/>
  <c r="J20" i="7"/>
  <c r="I20" i="7"/>
  <c r="H20" i="7"/>
  <c r="G20" i="7"/>
  <c r="L19" i="7"/>
  <c r="K19" i="7"/>
  <c r="J19" i="7"/>
  <c r="I19" i="7"/>
  <c r="H19" i="7"/>
  <c r="G19" i="7"/>
  <c r="L18" i="7"/>
  <c r="K18" i="7"/>
  <c r="J18" i="7"/>
  <c r="I18" i="7"/>
  <c r="H18" i="7"/>
  <c r="G18" i="7"/>
  <c r="L17" i="7"/>
  <c r="K17" i="7"/>
  <c r="J17" i="7"/>
  <c r="I17" i="7"/>
  <c r="H17" i="7"/>
  <c r="G17" i="7"/>
  <c r="L16" i="7"/>
  <c r="K16" i="7"/>
  <c r="J16" i="7"/>
  <c r="I16" i="7"/>
  <c r="H16" i="7"/>
  <c r="G16" i="7"/>
  <c r="L15" i="7"/>
  <c r="K15" i="7"/>
  <c r="J15" i="7"/>
  <c r="I15" i="7"/>
  <c r="H15" i="7"/>
  <c r="G15" i="7"/>
  <c r="L14" i="7"/>
  <c r="K14" i="7"/>
  <c r="J14" i="7"/>
  <c r="I14" i="7"/>
  <c r="H14" i="7"/>
  <c r="G14" i="7"/>
  <c r="L13" i="7"/>
  <c r="K13" i="7"/>
  <c r="J13" i="7"/>
  <c r="I13" i="7"/>
  <c r="H13" i="7"/>
  <c r="G13" i="7"/>
  <c r="C13" i="7"/>
  <c r="L13" i="8" s="1"/>
  <c r="AO12" i="7"/>
  <c r="AP12" i="7" s="1"/>
  <c r="V12" i="7"/>
  <c r="C18" i="9"/>
  <c r="D16" i="9" a="1"/>
  <c r="D16" i="9" s="1"/>
  <c r="C19" i="9" s="1"/>
  <c r="C55" i="7" s="1"/>
  <c r="O12" i="7" s="1"/>
  <c r="O35" i="7" s="1"/>
  <c r="C16" i="9"/>
  <c r="D135" i="10"/>
  <c r="B135" i="10"/>
  <c r="D134" i="10"/>
  <c r="B134" i="10"/>
  <c r="B133" i="10"/>
  <c r="D132" i="10"/>
  <c r="D133" i="10" s="1"/>
  <c r="B132" i="10"/>
  <c r="D131" i="10"/>
  <c r="B131" i="10"/>
  <c r="D130" i="10"/>
  <c r="B130" i="10"/>
  <c r="D129" i="10"/>
  <c r="C129" i="10"/>
  <c r="E129" i="10" s="1"/>
  <c r="D128" i="10"/>
  <c r="D127" i="10"/>
  <c r="F109" i="10"/>
  <c r="E109" i="10"/>
  <c r="F108" i="10"/>
  <c r="E108" i="10"/>
  <c r="C99" i="10"/>
  <c r="C98" i="10"/>
  <c r="C97" i="10"/>
  <c r="H84" i="10"/>
  <c r="G84" i="10"/>
  <c r="C133" i="10" s="1"/>
  <c r="E84" i="10"/>
  <c r="H83" i="10"/>
  <c r="E83" i="10"/>
  <c r="H82" i="10"/>
  <c r="E82" i="10"/>
  <c r="H81" i="10"/>
  <c r="E81" i="10"/>
  <c r="H76" i="10"/>
  <c r="E76" i="10"/>
  <c r="H75" i="10"/>
  <c r="E75" i="10"/>
  <c r="F75" i="10" s="1"/>
  <c r="H74" i="10"/>
  <c r="E74" i="10"/>
  <c r="H73" i="10"/>
  <c r="G73" i="10"/>
  <c r="E73" i="10"/>
  <c r="H72" i="10"/>
  <c r="E72" i="10"/>
  <c r="C42" i="10"/>
  <c r="C31" i="10"/>
  <c r="C30" i="10"/>
  <c r="C55" i="10" s="1"/>
  <c r="C21" i="10"/>
  <c r="G76" i="10" s="1"/>
  <c r="C135" i="10" s="1"/>
  <c r="E135" i="10" s="1"/>
  <c r="C20" i="10"/>
  <c r="G75" i="10" s="1"/>
  <c r="C134" i="10" s="1"/>
  <c r="E134" i="10" s="1"/>
  <c r="C19" i="10"/>
  <c r="C18" i="10"/>
  <c r="C17" i="10"/>
  <c r="G74" i="10" s="1"/>
  <c r="C16" i="10"/>
  <c r="G82" i="10" s="1"/>
  <c r="C131" i="10" s="1"/>
  <c r="E131" i="10" s="1"/>
  <c r="C15" i="10"/>
  <c r="G81" i="10" s="1"/>
  <c r="C130" i="10" s="1"/>
  <c r="E130" i="10" s="1"/>
  <c r="C14" i="10"/>
  <c r="C13" i="10"/>
  <c r="C12" i="10"/>
  <c r="C11" i="10"/>
  <c r="B9" i="10"/>
  <c r="B5" i="10"/>
  <c r="B4" i="10"/>
  <c r="B3" i="10"/>
  <c r="G23" i="11"/>
  <c r="H23" i="11" s="1"/>
  <c r="H22" i="11"/>
  <c r="G22" i="11"/>
  <c r="G21" i="11"/>
  <c r="H21" i="11" s="1"/>
  <c r="H20" i="11"/>
  <c r="G20" i="11"/>
  <c r="G19" i="11"/>
  <c r="H19" i="11" s="1"/>
  <c r="H18" i="11"/>
  <c r="G18" i="11"/>
  <c r="G17" i="11"/>
  <c r="H17" i="11" s="1"/>
  <c r="H16" i="11"/>
  <c r="G16" i="11"/>
  <c r="M15" i="11"/>
  <c r="O15" i="11" s="1"/>
  <c r="H15" i="11"/>
  <c r="G15" i="11"/>
  <c r="M14" i="11"/>
  <c r="O14" i="11" s="1"/>
  <c r="H14" i="11"/>
  <c r="G14" i="11"/>
  <c r="M13" i="11"/>
  <c r="O13" i="11" s="1"/>
  <c r="H13" i="11"/>
  <c r="G13" i="11"/>
  <c r="M12" i="11"/>
  <c r="O12" i="11" s="1"/>
  <c r="H12" i="11"/>
  <c r="G12" i="11"/>
  <c r="M11" i="11"/>
  <c r="O11" i="11" s="1"/>
  <c r="H11" i="11"/>
  <c r="G11" i="11"/>
  <c r="M10" i="11"/>
  <c r="O10" i="11" s="1"/>
  <c r="H10" i="11"/>
  <c r="G10" i="11"/>
  <c r="M9" i="11"/>
  <c r="O9" i="11" s="1"/>
  <c r="H9" i="11"/>
  <c r="G9" i="11"/>
  <c r="M8" i="11"/>
  <c r="O8" i="11" s="1"/>
  <c r="H8" i="11"/>
  <c r="G8" i="11"/>
  <c r="M7" i="11"/>
  <c r="O7" i="11" s="1"/>
  <c r="H7" i="11"/>
  <c r="G7" i="11"/>
  <c r="M6" i="11"/>
  <c r="O6" i="11" s="1"/>
  <c r="H6" i="11"/>
  <c r="G6" i="11"/>
  <c r="M5" i="11"/>
  <c r="O5" i="11" s="1"/>
  <c r="H5" i="11"/>
  <c r="G5" i="11"/>
  <c r="V58" i="5"/>
  <c r="V54" i="5"/>
  <c r="A111" i="5"/>
  <c r="A69" i="5"/>
  <c r="A109" i="5" s="1"/>
  <c r="A140" i="5"/>
  <c r="A154" i="5" s="1"/>
  <c r="A122" i="5"/>
  <c r="A171" i="5" s="1"/>
  <c r="A186" i="5" s="1"/>
  <c r="A201" i="5" s="1"/>
  <c r="A216" i="5" s="1"/>
  <c r="H108" i="5"/>
  <c r="A126" i="5"/>
  <c r="A175" i="5" s="1"/>
  <c r="A132" i="5"/>
  <c r="A181" i="5" s="1"/>
  <c r="A196" i="5" s="1"/>
  <c r="A211" i="5" s="1"/>
  <c r="A226" i="5" s="1"/>
  <c r="V52" i="5"/>
  <c r="A113" i="5"/>
  <c r="A127" i="5" s="1"/>
  <c r="A176" i="5" s="1"/>
  <c r="V53" i="5"/>
  <c r="A77" i="5"/>
  <c r="A117" i="5" s="1"/>
  <c r="A147" i="5"/>
  <c r="H147" i="5" s="1"/>
  <c r="O147" i="5" s="1"/>
  <c r="A146" i="5"/>
  <c r="A128" i="5"/>
  <c r="A177" i="5" s="1"/>
  <c r="M454" i="5" s="1"/>
  <c r="A123" i="5"/>
  <c r="A172" i="5" s="1"/>
  <c r="A187" i="5" s="1"/>
  <c r="A202" i="5" s="1"/>
  <c r="A217" i="5" s="1"/>
  <c r="H114" i="5"/>
  <c r="M13" i="8"/>
  <c r="C13" i="8" s="1"/>
  <c r="D13" i="8" s="1"/>
  <c r="AL13" i="7"/>
  <c r="AM35" i="7"/>
  <c r="E35" i="7"/>
  <c r="AC35" i="7"/>
  <c r="A160" i="5"/>
  <c r="H146" i="5"/>
  <c r="A131" i="5"/>
  <c r="A180" i="5" s="1"/>
  <c r="A195" i="5" s="1"/>
  <c r="A210" i="5" s="1"/>
  <c r="A225" i="5" s="1"/>
  <c r="H113" i="5"/>
  <c r="H127" i="5" s="1"/>
  <c r="O114" i="5"/>
  <c r="H128" i="5"/>
  <c r="O108" i="5"/>
  <c r="H122" i="5"/>
  <c r="A192" i="5"/>
  <c r="A207" i="5" s="1"/>
  <c r="A222" i="5" s="1"/>
  <c r="N13" i="8"/>
  <c r="G13" i="8" s="1"/>
  <c r="V108" i="5"/>
  <c r="V122" i="5" s="1"/>
  <c r="O122" i="5"/>
  <c r="O146" i="5"/>
  <c r="O160" i="5" s="1"/>
  <c r="H160" i="5"/>
  <c r="V114" i="5"/>
  <c r="V128" i="5" s="1"/>
  <c r="O128" i="5"/>
  <c r="L152" i="5" l="1"/>
  <c r="Z169" i="5"/>
  <c r="Z184" i="5" s="1"/>
  <c r="Z199" i="5" s="1"/>
  <c r="Z214" i="5" s="1"/>
  <c r="Z152" i="5"/>
  <c r="H107" i="5"/>
  <c r="A139" i="5"/>
  <c r="A121" i="5"/>
  <c r="A170" i="5" s="1"/>
  <c r="A185" i="5" s="1"/>
  <c r="A200" i="5" s="1"/>
  <c r="A215" i="5" s="1"/>
  <c r="A148" i="5"/>
  <c r="H116" i="5"/>
  <c r="A130" i="5"/>
  <c r="A179" i="5" s="1"/>
  <c r="A194" i="5" s="1"/>
  <c r="A209" i="5" s="1"/>
  <c r="A224" i="5" s="1"/>
  <c r="H129" i="5"/>
  <c r="O115" i="5"/>
  <c r="O129" i="5" s="1"/>
  <c r="B121" i="5"/>
  <c r="I107" i="5"/>
  <c r="B139" i="5"/>
  <c r="O118" i="5"/>
  <c r="H132" i="5"/>
  <c r="H126" i="5"/>
  <c r="O112" i="5"/>
  <c r="M452" i="5"/>
  <c r="A190" i="5"/>
  <c r="A205" i="5" s="1"/>
  <c r="A220" i="5" s="1"/>
  <c r="O113" i="5"/>
  <c r="A145" i="5"/>
  <c r="A129" i="5"/>
  <c r="A178" i="5" s="1"/>
  <c r="H140" i="5"/>
  <c r="A161" i="5"/>
  <c r="A150" i="5"/>
  <c r="A144" i="5"/>
  <c r="V55" i="5"/>
  <c r="AA47" i="7"/>
  <c r="M46" i="7"/>
  <c r="AH44" i="7"/>
  <c r="AI42" i="7"/>
  <c r="H40" i="7"/>
  <c r="S37" i="7"/>
  <c r="N47" i="7"/>
  <c r="AK45" i="7"/>
  <c r="R44" i="7"/>
  <c r="H42" i="7"/>
  <c r="S39" i="7"/>
  <c r="AC36" i="7"/>
  <c r="H13" i="8"/>
  <c r="F13" i="8"/>
  <c r="J13" i="8" s="1"/>
  <c r="A191" i="5"/>
  <c r="A206" i="5" s="1"/>
  <c r="A221" i="5" s="1"/>
  <c r="M453" i="5"/>
  <c r="V147" i="5"/>
  <c r="V161" i="5" s="1"/>
  <c r="O161" i="5"/>
  <c r="V115" i="5"/>
  <c r="V129" i="5" s="1"/>
  <c r="H161" i="5"/>
  <c r="E133" i="10"/>
  <c r="V146" i="5"/>
  <c r="V160" i="5" s="1"/>
  <c r="H109" i="5"/>
  <c r="A141" i="5"/>
  <c r="C75" i="10"/>
  <c r="C56" i="10"/>
  <c r="C76" i="10" s="1"/>
  <c r="H117" i="5"/>
  <c r="A149" i="5"/>
  <c r="H111" i="5"/>
  <c r="A143" i="5"/>
  <c r="A125" i="5"/>
  <c r="A174" i="5" s="1"/>
  <c r="H24" i="11"/>
  <c r="U12" i="7"/>
  <c r="V13" i="7"/>
  <c r="H169" i="5"/>
  <c r="H184" i="5" s="1"/>
  <c r="H199" i="5" s="1"/>
  <c r="H214" i="5" s="1"/>
  <c r="E120" i="5"/>
  <c r="M12" i="8"/>
  <c r="C12" i="8" s="1"/>
  <c r="N12" i="8"/>
  <c r="G12" i="8" s="1"/>
  <c r="AL12" i="7"/>
  <c r="A70" i="5"/>
  <c r="A110" i="5" s="1"/>
  <c r="V50" i="5"/>
  <c r="C41" i="10"/>
  <c r="C45" i="10" s="1"/>
  <c r="G72" i="10"/>
  <c r="G83" i="10"/>
  <c r="C132" i="10" s="1"/>
  <c r="E132" i="10" s="1"/>
  <c r="AO13" i="7"/>
  <c r="F3" i="1"/>
  <c r="F22" i="1" s="1"/>
  <c r="F23" i="1" s="1"/>
  <c r="Q169" i="5"/>
  <c r="Q184" i="5" s="1"/>
  <c r="Q199" i="5" s="1"/>
  <c r="Q214" i="5" s="1"/>
  <c r="Z120" i="5"/>
  <c r="B26" i="8"/>
  <c r="E32" i="8" s="1"/>
  <c r="B38" i="8"/>
  <c r="B7" i="3" s="1"/>
  <c r="C14" i="7"/>
  <c r="C5" i="1"/>
  <c r="AD35" i="7"/>
  <c r="AG35" i="7"/>
  <c r="AJ47" i="7"/>
  <c r="V47" i="7"/>
  <c r="K47" i="7"/>
  <c r="AJ46" i="7"/>
  <c r="U46" i="7"/>
  <c r="I46" i="7"/>
  <c r="AJ45" i="7"/>
  <c r="U45" i="7"/>
  <c r="I45" i="7"/>
  <c r="AD44" i="7"/>
  <c r="J44" i="7"/>
  <c r="AH43" i="7"/>
  <c r="R43" i="7"/>
  <c r="AH42" i="7"/>
  <c r="G42" i="7"/>
  <c r="Q41" i="7"/>
  <c r="AD40" i="7"/>
  <c r="D40" i="7"/>
  <c r="Q39" i="7"/>
  <c r="AB38" i="7"/>
  <c r="C38" i="7"/>
  <c r="M37" i="7"/>
  <c r="AB36" i="7"/>
  <c r="AI35" i="7"/>
  <c r="Y35" i="7"/>
  <c r="AF47" i="7"/>
  <c r="T47" i="7"/>
  <c r="H47" i="7"/>
  <c r="AE46" i="7"/>
  <c r="T46" i="7"/>
  <c r="H46" i="7"/>
  <c r="AD45" i="7"/>
  <c r="R45" i="7"/>
  <c r="H45" i="7"/>
  <c r="Y44" i="7"/>
  <c r="I44" i="7"/>
  <c r="AC43" i="7"/>
  <c r="J43" i="7"/>
  <c r="W42" i="7"/>
  <c r="AI41" i="7"/>
  <c r="H41" i="7"/>
  <c r="V40" i="7"/>
  <c r="AG39" i="7"/>
  <c r="F39" i="7"/>
  <c r="S38" i="7"/>
  <c r="AC37" i="7"/>
  <c r="E37" i="7"/>
  <c r="Q36" i="7"/>
  <c r="J35" i="7"/>
  <c r="AD47" i="7"/>
  <c r="S47" i="7"/>
  <c r="D47" i="7"/>
  <c r="AC46" i="7"/>
  <c r="P46" i="7"/>
  <c r="C46" i="7"/>
  <c r="AC45" i="7"/>
  <c r="P45" i="7"/>
  <c r="AK44" i="7"/>
  <c r="T44" i="7"/>
  <c r="E44" i="7"/>
  <c r="Y43" i="7"/>
  <c r="G43" i="7"/>
  <c r="S42" i="7"/>
  <c r="AE41" i="7"/>
  <c r="G41" i="7"/>
  <c r="Q40" i="7"/>
  <c r="AD39" i="7"/>
  <c r="C39" i="7"/>
  <c r="N38" i="7"/>
  <c r="AB37" i="7"/>
  <c r="AL36" i="7"/>
  <c r="M36" i="7"/>
  <c r="G28" i="8"/>
  <c r="C37" i="8"/>
  <c r="N169" i="5"/>
  <c r="N184" i="5" s="1"/>
  <c r="N199" i="5" s="1"/>
  <c r="N214" i="5" s="1"/>
  <c r="E43" i="7"/>
  <c r="AB42" i="7"/>
  <c r="O42" i="7"/>
  <c r="D42" i="7"/>
  <c r="AB41" i="7"/>
  <c r="O41" i="7"/>
  <c r="C41" i="7"/>
  <c r="Y40" i="7"/>
  <c r="N40" i="7"/>
  <c r="AM39" i="7"/>
  <c r="Y39" i="7"/>
  <c r="M39" i="7"/>
  <c r="AM38" i="7"/>
  <c r="X38" i="7"/>
  <c r="L38" i="7"/>
  <c r="AK37" i="7"/>
  <c r="W37" i="7"/>
  <c r="L37" i="7"/>
  <c r="AK36" i="7"/>
  <c r="V36" i="7"/>
  <c r="J36" i="7"/>
  <c r="B48" i="7"/>
  <c r="D35" i="7"/>
  <c r="AK35" i="7"/>
  <c r="AA35" i="7"/>
  <c r="U35" i="7"/>
  <c r="AI47" i="7"/>
  <c r="Z47" i="7"/>
  <c r="O47" i="7"/>
  <c r="F47" i="7"/>
  <c r="AI46" i="7"/>
  <c r="X46" i="7"/>
  <c r="O46" i="7"/>
  <c r="E46" i="7"/>
  <c r="AF45" i="7"/>
  <c r="X45" i="7"/>
  <c r="N45" i="7"/>
  <c r="C45" i="7"/>
  <c r="Z44" i="7"/>
  <c r="P44" i="7"/>
  <c r="AM43" i="7"/>
  <c r="Z43" i="7"/>
  <c r="N43" i="7"/>
  <c r="AJ42" i="7"/>
  <c r="Z42" i="7"/>
  <c r="N42" i="7"/>
  <c r="AJ41" i="7"/>
  <c r="X41" i="7"/>
  <c r="M41" i="7"/>
  <c r="AJ40" i="7"/>
  <c r="X40" i="7"/>
  <c r="L40" i="7"/>
  <c r="AH39" i="7"/>
  <c r="W39" i="7"/>
  <c r="K39" i="7"/>
  <c r="AH38" i="7"/>
  <c r="V38" i="7"/>
  <c r="K38" i="7"/>
  <c r="AG37" i="7"/>
  <c r="U37" i="7"/>
  <c r="H37" i="7"/>
  <c r="AF36" i="7"/>
  <c r="U36" i="7"/>
  <c r="C36" i="7"/>
  <c r="G36" i="7"/>
  <c r="K36" i="7"/>
  <c r="O36" i="7"/>
  <c r="S36" i="7"/>
  <c r="W36" i="7"/>
  <c r="AA36" i="7"/>
  <c r="AE36" i="7"/>
  <c r="AI36" i="7"/>
  <c r="AM36" i="7"/>
  <c r="F37" i="7"/>
  <c r="J37" i="7"/>
  <c r="N37" i="7"/>
  <c r="R37" i="7"/>
  <c r="V37" i="7"/>
  <c r="Z37" i="7"/>
  <c r="AD37" i="7"/>
  <c r="AH37" i="7"/>
  <c r="AL37" i="7"/>
  <c r="E38" i="7"/>
  <c r="I38" i="7"/>
  <c r="M38" i="7"/>
  <c r="Q38" i="7"/>
  <c r="U38" i="7"/>
  <c r="Y38" i="7"/>
  <c r="AC38" i="7"/>
  <c r="AG38" i="7"/>
  <c r="AK38" i="7"/>
  <c r="D39" i="7"/>
  <c r="H39" i="7"/>
  <c r="L39" i="7"/>
  <c r="P39" i="7"/>
  <c r="T39" i="7"/>
  <c r="X39" i="7"/>
  <c r="AB39" i="7"/>
  <c r="AF39" i="7"/>
  <c r="AJ39" i="7"/>
  <c r="C40" i="7"/>
  <c r="G40" i="7"/>
  <c r="K40" i="7"/>
  <c r="O40" i="7"/>
  <c r="S40" i="7"/>
  <c r="W40" i="7"/>
  <c r="AA40" i="7"/>
  <c r="AE40" i="7"/>
  <c r="AI40" i="7"/>
  <c r="AM40" i="7"/>
  <c r="F41" i="7"/>
  <c r="J41" i="7"/>
  <c r="N41" i="7"/>
  <c r="R41" i="7"/>
  <c r="V41" i="7"/>
  <c r="Z41" i="7"/>
  <c r="AD41" i="7"/>
  <c r="AH41" i="7"/>
  <c r="AL41" i="7"/>
  <c r="E42" i="7"/>
  <c r="I42" i="7"/>
  <c r="M42" i="7"/>
  <c r="Q42" i="7"/>
  <c r="U42" i="7"/>
  <c r="Y42" i="7"/>
  <c r="AC42" i="7"/>
  <c r="AG42" i="7"/>
  <c r="AK42" i="7"/>
  <c r="D43" i="7"/>
  <c r="H43" i="7"/>
  <c r="L43" i="7"/>
  <c r="P43" i="7"/>
  <c r="T43" i="7"/>
  <c r="X43" i="7"/>
  <c r="AB43" i="7"/>
  <c r="AF43" i="7"/>
  <c r="AJ43" i="7"/>
  <c r="C44" i="7"/>
  <c r="G44" i="7"/>
  <c r="K44" i="7"/>
  <c r="O44" i="7"/>
  <c r="S44" i="7"/>
  <c r="W44" i="7"/>
  <c r="AA44" i="7"/>
  <c r="AE44" i="7"/>
  <c r="AI44" i="7"/>
  <c r="AM44" i="7"/>
  <c r="F45" i="7"/>
  <c r="D36" i="7"/>
  <c r="I36" i="7"/>
  <c r="N36" i="7"/>
  <c r="T36" i="7"/>
  <c r="Y36" i="7"/>
  <c r="AD36" i="7"/>
  <c r="AJ36" i="7"/>
  <c r="D37" i="7"/>
  <c r="I37" i="7"/>
  <c r="O37" i="7"/>
  <c r="T37" i="7"/>
  <c r="Y37" i="7"/>
  <c r="AE37" i="7"/>
  <c r="AJ37" i="7"/>
  <c r="D38" i="7"/>
  <c r="J38" i="7"/>
  <c r="O38" i="7"/>
  <c r="T38" i="7"/>
  <c r="Z38" i="7"/>
  <c r="AE38" i="7"/>
  <c r="AJ38" i="7"/>
  <c r="E39" i="7"/>
  <c r="J39" i="7"/>
  <c r="O39" i="7"/>
  <c r="U39" i="7"/>
  <c r="Z39" i="7"/>
  <c r="AE39" i="7"/>
  <c r="AK39" i="7"/>
  <c r="E40" i="7"/>
  <c r="J40" i="7"/>
  <c r="P40" i="7"/>
  <c r="U40" i="7"/>
  <c r="Z40" i="7"/>
  <c r="AF40" i="7"/>
  <c r="AK40" i="7"/>
  <c r="E41" i="7"/>
  <c r="K41" i="7"/>
  <c r="P41" i="7"/>
  <c r="U41" i="7"/>
  <c r="AA41" i="7"/>
  <c r="AF41" i="7"/>
  <c r="AK41" i="7"/>
  <c r="F42" i="7"/>
  <c r="K42" i="7"/>
  <c r="P42" i="7"/>
  <c r="V42" i="7"/>
  <c r="AA42" i="7"/>
  <c r="AF42" i="7"/>
  <c r="AL42" i="7"/>
  <c r="F43" i="7"/>
  <c r="K43" i="7"/>
  <c r="Q43" i="7"/>
  <c r="V43" i="7"/>
  <c r="AA43" i="7"/>
  <c r="AG43" i="7"/>
  <c r="AL43" i="7"/>
  <c r="F44" i="7"/>
  <c r="L44" i="7"/>
  <c r="Q44" i="7"/>
  <c r="V44" i="7"/>
  <c r="AB44" i="7"/>
  <c r="AG44" i="7"/>
  <c r="AL44" i="7"/>
  <c r="G45" i="7"/>
  <c r="K45" i="7"/>
  <c r="O45" i="7"/>
  <c r="S45" i="7"/>
  <c r="W45" i="7"/>
  <c r="AA45" i="7"/>
  <c r="AE45" i="7"/>
  <c r="AI45" i="7"/>
  <c r="AM45" i="7"/>
  <c r="F46" i="7"/>
  <c r="J46" i="7"/>
  <c r="N46" i="7"/>
  <c r="R46" i="7"/>
  <c r="V46" i="7"/>
  <c r="Z46" i="7"/>
  <c r="AD46" i="7"/>
  <c r="AH46" i="7"/>
  <c r="AL46" i="7"/>
  <c r="E47" i="7"/>
  <c r="I47" i="7"/>
  <c r="M47" i="7"/>
  <c r="Q47" i="7"/>
  <c r="U47" i="7"/>
  <c r="Y47" i="7"/>
  <c r="AC47" i="7"/>
  <c r="AG47" i="7"/>
  <c r="AK47" i="7"/>
  <c r="F35" i="7"/>
  <c r="G35" i="7"/>
  <c r="C35" i="7"/>
  <c r="T35" i="7"/>
  <c r="Z35" i="7"/>
  <c r="AL35" i="7"/>
  <c r="H35" i="7"/>
  <c r="E36" i="7"/>
  <c r="L36" i="7"/>
  <c r="R36" i="7"/>
  <c r="Z36" i="7"/>
  <c r="AG36" i="7"/>
  <c r="C37" i="7"/>
  <c r="K37" i="7"/>
  <c r="Q37" i="7"/>
  <c r="X37" i="7"/>
  <c r="AF37" i="7"/>
  <c r="AM37" i="7"/>
  <c r="H38" i="7"/>
  <c r="P38" i="7"/>
  <c r="W38" i="7"/>
  <c r="AD38" i="7"/>
  <c r="AL38" i="7"/>
  <c r="G39" i="7"/>
  <c r="N39" i="7"/>
  <c r="V39" i="7"/>
  <c r="AC39" i="7"/>
  <c r="AI39" i="7"/>
  <c r="F40" i="7"/>
  <c r="M40" i="7"/>
  <c r="T40" i="7"/>
  <c r="AB40" i="7"/>
  <c r="AH40" i="7"/>
  <c r="D41" i="7"/>
  <c r="L41" i="7"/>
  <c r="S41" i="7"/>
  <c r="Y41" i="7"/>
  <c r="AG41" i="7"/>
  <c r="C42" i="7"/>
  <c r="J42" i="7"/>
  <c r="R42" i="7"/>
  <c r="X42" i="7"/>
  <c r="AE42" i="7"/>
  <c r="AM42" i="7"/>
  <c r="I43" i="7"/>
  <c r="O43" i="7"/>
  <c r="W43" i="7"/>
  <c r="AD43" i="7"/>
  <c r="AK43" i="7"/>
  <c r="H44" i="7"/>
  <c r="N44" i="7"/>
  <c r="U44" i="7"/>
  <c r="AC44" i="7"/>
  <c r="AJ44" i="7"/>
  <c r="E45" i="7"/>
  <c r="L45" i="7"/>
  <c r="Q45" i="7"/>
  <c r="V45" i="7"/>
  <c r="AB45" i="7"/>
  <c r="AG45" i="7"/>
  <c r="AL45" i="7"/>
  <c r="G46" i="7"/>
  <c r="L46" i="7"/>
  <c r="Q46" i="7"/>
  <c r="W46" i="7"/>
  <c r="AB46" i="7"/>
  <c r="AG46" i="7"/>
  <c r="AM46" i="7"/>
  <c r="G47" i="7"/>
  <c r="L47" i="7"/>
  <c r="R47" i="7"/>
  <c r="W47" i="7"/>
  <c r="AB47" i="7"/>
  <c r="AH47" i="7"/>
  <c r="AM47" i="7"/>
  <c r="W35" i="7"/>
  <c r="AB35" i="7"/>
  <c r="I35" i="7"/>
  <c r="L35" i="7"/>
  <c r="AF35" i="7"/>
  <c r="P35" i="7"/>
  <c r="F36" i="7"/>
  <c r="P36" i="7"/>
  <c r="X36" i="7"/>
  <c r="AH36" i="7"/>
  <c r="G37" i="7"/>
  <c r="P37" i="7"/>
  <c r="AA37" i="7"/>
  <c r="AI37" i="7"/>
  <c r="G38" i="7"/>
  <c r="R38" i="7"/>
  <c r="AA38" i="7"/>
  <c r="AI38" i="7"/>
  <c r="I39" i="7"/>
  <c r="R39" i="7"/>
  <c r="AA39" i="7"/>
  <c r="AL39" i="7"/>
  <c r="I40" i="7"/>
  <c r="R40" i="7"/>
  <c r="AC40" i="7"/>
  <c r="AL40" i="7"/>
  <c r="I41" i="7"/>
  <c r="T41" i="7"/>
  <c r="AC41" i="7"/>
  <c r="AM41" i="7"/>
  <c r="L42" i="7"/>
  <c r="T42" i="7"/>
  <c r="AD42" i="7"/>
  <c r="C43" i="7"/>
  <c r="M43" i="7"/>
  <c r="U43" i="7"/>
  <c r="AE43" i="7"/>
  <c r="D44" i="7"/>
  <c r="M44" i="7"/>
  <c r="X44" i="7"/>
  <c r="AF44" i="7"/>
  <c r="D45" i="7"/>
  <c r="M45" i="7"/>
  <c r="T45" i="7"/>
  <c r="Z45" i="7"/>
  <c r="AH45" i="7"/>
  <c r="D46" i="7"/>
  <c r="K46" i="7"/>
  <c r="S46" i="7"/>
  <c r="Y46" i="7"/>
  <c r="AF46" i="7"/>
  <c r="C47" i="7"/>
  <c r="J47" i="7"/>
  <c r="P47" i="7"/>
  <c r="X47" i="7"/>
  <c r="AE47" i="7"/>
  <c r="AL47" i="7"/>
  <c r="R35" i="7"/>
  <c r="V35" i="7"/>
  <c r="X35" i="7"/>
  <c r="C31" i="8"/>
  <c r="C35" i="8"/>
  <c r="F29" i="8"/>
  <c r="F30" i="8"/>
  <c r="G34" i="8"/>
  <c r="H33" i="8"/>
  <c r="E35" i="8"/>
  <c r="I28" i="8"/>
  <c r="H145" i="5" l="1"/>
  <c r="A159" i="5"/>
  <c r="O126" i="5"/>
  <c r="V112" i="5"/>
  <c r="V126" i="5" s="1"/>
  <c r="A158" i="5"/>
  <c r="H144" i="5"/>
  <c r="A193" i="5"/>
  <c r="A208" i="5" s="1"/>
  <c r="A223" i="5" s="1"/>
  <c r="M455" i="5"/>
  <c r="O132" i="5"/>
  <c r="V118" i="5"/>
  <c r="V132" i="5" s="1"/>
  <c r="A162" i="5"/>
  <c r="H148" i="5"/>
  <c r="A164" i="5"/>
  <c r="H150" i="5"/>
  <c r="B153" i="5"/>
  <c r="I139" i="5"/>
  <c r="V113" i="5"/>
  <c r="V127" i="5" s="1"/>
  <c r="O127" i="5"/>
  <c r="I121" i="5"/>
  <c r="P107" i="5"/>
  <c r="A153" i="5"/>
  <c r="H139" i="5"/>
  <c r="O140" i="5"/>
  <c r="H154" i="5"/>
  <c r="O116" i="5"/>
  <c r="H130" i="5"/>
  <c r="O107" i="5"/>
  <c r="H121" i="5"/>
  <c r="H36" i="8"/>
  <c r="J36" i="8"/>
  <c r="F38" i="1"/>
  <c r="F37" i="1"/>
  <c r="F36" i="1"/>
  <c r="F40" i="1" s="1"/>
  <c r="I3" i="1" s="1"/>
  <c r="F29" i="1"/>
  <c r="I4" i="1" s="1"/>
  <c r="C50" i="10"/>
  <c r="C59" i="10"/>
  <c r="H143" i="5"/>
  <c r="A157" i="5"/>
  <c r="A155" i="5"/>
  <c r="H141" i="5"/>
  <c r="I36" i="8"/>
  <c r="E31" i="8"/>
  <c r="G30" i="8"/>
  <c r="D34" i="8"/>
  <c r="D31" i="8"/>
  <c r="G33" i="8"/>
  <c r="U13" i="7"/>
  <c r="AP13" i="7"/>
  <c r="O13" i="7"/>
  <c r="D12" i="8"/>
  <c r="H125" i="5"/>
  <c r="O111" i="5"/>
  <c r="F76" i="10"/>
  <c r="H123" i="5"/>
  <c r="O109" i="5"/>
  <c r="C32" i="8"/>
  <c r="C34" i="8"/>
  <c r="D37" i="8"/>
  <c r="F36" i="8"/>
  <c r="G32" i="8"/>
  <c r="H29" i="8"/>
  <c r="H34" i="8"/>
  <c r="E30" i="8"/>
  <c r="I29" i="8"/>
  <c r="I35" i="8"/>
  <c r="C28" i="8"/>
  <c r="C36" i="8"/>
  <c r="D32" i="8"/>
  <c r="F31" i="8"/>
  <c r="F37" i="8"/>
  <c r="G35" i="8"/>
  <c r="H35" i="8"/>
  <c r="E33" i="8"/>
  <c r="I30" i="8"/>
  <c r="I37" i="8"/>
  <c r="C29" i="8"/>
  <c r="C30" i="8"/>
  <c r="D28" i="8"/>
  <c r="D33" i="8"/>
  <c r="F32" i="8"/>
  <c r="G29" i="8"/>
  <c r="G36" i="8"/>
  <c r="H30" i="8"/>
  <c r="E28" i="8"/>
  <c r="E34" i="8"/>
  <c r="I31" i="8"/>
  <c r="C33" i="8"/>
  <c r="F35" i="8"/>
  <c r="E29" i="8"/>
  <c r="D29" i="8"/>
  <c r="G31" i="8"/>
  <c r="E36" i="8"/>
  <c r="J32" i="8"/>
  <c r="D35" i="8"/>
  <c r="G37" i="8"/>
  <c r="I34" i="8"/>
  <c r="H32" i="8"/>
  <c r="J34" i="8"/>
  <c r="J30" i="8"/>
  <c r="J37" i="8"/>
  <c r="J29" i="8"/>
  <c r="J31" i="8"/>
  <c r="J33" i="8"/>
  <c r="J35" i="8"/>
  <c r="F12" i="8"/>
  <c r="J12" i="8" s="1"/>
  <c r="H12" i="8"/>
  <c r="F24" i="1"/>
  <c r="F26" i="1" s="1"/>
  <c r="F27" i="1" s="1"/>
  <c r="F28" i="1" s="1"/>
  <c r="I5" i="1" s="1"/>
  <c r="I32" i="8"/>
  <c r="H37" i="8"/>
  <c r="F34" i="8"/>
  <c r="D30" i="8"/>
  <c r="E48" i="7"/>
  <c r="D10" i="2" s="1"/>
  <c r="D36" i="8"/>
  <c r="H28" i="8"/>
  <c r="E37" i="8"/>
  <c r="V14" i="7"/>
  <c r="C15" i="7"/>
  <c r="L14" i="8"/>
  <c r="AO14" i="7"/>
  <c r="H110" i="5"/>
  <c r="A142" i="5"/>
  <c r="A124" i="5"/>
  <c r="A173" i="5" s="1"/>
  <c r="A163" i="5"/>
  <c r="H149" i="5"/>
  <c r="AH13" i="7"/>
  <c r="AJ13" i="7" s="1"/>
  <c r="Q13" i="7"/>
  <c r="S13" i="7" s="1"/>
  <c r="F33" i="8"/>
  <c r="H31" i="8"/>
  <c r="I33" i="8"/>
  <c r="F25" i="1"/>
  <c r="M451" i="5"/>
  <c r="A189" i="5"/>
  <c r="A204" i="5" s="1"/>
  <c r="A219" i="5" s="1"/>
  <c r="H131" i="5"/>
  <c r="O117" i="5"/>
  <c r="AG48" i="7"/>
  <c r="G34" i="2" s="1"/>
  <c r="J48" i="7"/>
  <c r="D20" i="2" s="1"/>
  <c r="B9" i="5" s="1"/>
  <c r="O48" i="7"/>
  <c r="D37" i="2" s="1"/>
  <c r="K48" i="7"/>
  <c r="B13" i="5" s="1"/>
  <c r="X48" i="7"/>
  <c r="G24" i="2" s="1"/>
  <c r="AB48" i="7"/>
  <c r="G28" i="2" s="1"/>
  <c r="K18" i="5" s="1"/>
  <c r="Z48" i="7"/>
  <c r="G26" i="2" s="1"/>
  <c r="AE48" i="7"/>
  <c r="N5" i="5" s="1"/>
  <c r="N7" i="5" s="1"/>
  <c r="AD48" i="7"/>
  <c r="N4" i="5" s="1"/>
  <c r="AI48" i="7"/>
  <c r="G36" i="2" s="1"/>
  <c r="AC48" i="7"/>
  <c r="G29" i="2" s="1"/>
  <c r="AM48" i="7"/>
  <c r="G40" i="2" s="1"/>
  <c r="K13" i="5"/>
  <c r="K12" i="5"/>
  <c r="Y48" i="7"/>
  <c r="G25" i="2" s="1"/>
  <c r="D48" i="7"/>
  <c r="D6" i="2" s="1"/>
  <c r="AF48" i="7"/>
  <c r="N6" i="5" s="1"/>
  <c r="T48" i="7"/>
  <c r="G12" i="2" s="1"/>
  <c r="G48" i="7"/>
  <c r="D12" i="2" s="1"/>
  <c r="AA48" i="7"/>
  <c r="G27" i="2" s="1"/>
  <c r="R48" i="7"/>
  <c r="G10" i="2" s="1"/>
  <c r="L48" i="7"/>
  <c r="B14" i="5" s="1"/>
  <c r="H48" i="7"/>
  <c r="D13" i="2" s="1"/>
  <c r="F48" i="7"/>
  <c r="D11" i="2" s="1"/>
  <c r="P48" i="7"/>
  <c r="C48" i="7"/>
  <c r="D5" i="2" s="1"/>
  <c r="U48" i="7"/>
  <c r="G13" i="2" s="1"/>
  <c r="V48" i="7"/>
  <c r="G19" i="2" s="1"/>
  <c r="W48" i="7"/>
  <c r="G20" i="2" s="1"/>
  <c r="I48" i="7"/>
  <c r="D19" i="2" s="1"/>
  <c r="AL48" i="7"/>
  <c r="G39" i="2" s="1"/>
  <c r="K4" i="5" s="1"/>
  <c r="AK48" i="7"/>
  <c r="G38" i="2" s="1"/>
  <c r="K6" i="5" s="1"/>
  <c r="K8" i="5" s="1"/>
  <c r="W107" i="5" l="1"/>
  <c r="W121" i="5" s="1"/>
  <c r="P121" i="5"/>
  <c r="P139" i="5"/>
  <c r="I153" i="5"/>
  <c r="O148" i="5"/>
  <c r="H162" i="5"/>
  <c r="V107" i="5"/>
  <c r="V121" i="5" s="1"/>
  <c r="O121" i="5"/>
  <c r="V140" i="5"/>
  <c r="V154" i="5" s="1"/>
  <c r="O154" i="5"/>
  <c r="H153" i="5"/>
  <c r="O139" i="5"/>
  <c r="O150" i="5"/>
  <c r="H164" i="5"/>
  <c r="O144" i="5"/>
  <c r="H158" i="5"/>
  <c r="O130" i="5"/>
  <c r="V116" i="5"/>
  <c r="V130" i="5" s="1"/>
  <c r="O145" i="5"/>
  <c r="H159" i="5"/>
  <c r="H38" i="8"/>
  <c r="C19" i="3" s="1"/>
  <c r="E19" i="3" s="1"/>
  <c r="E38" i="8"/>
  <c r="C11" i="3" s="1"/>
  <c r="E11" i="3" s="1"/>
  <c r="I38" i="8"/>
  <c r="C26" i="3" s="1"/>
  <c r="E26" i="3" s="1"/>
  <c r="C38" i="8"/>
  <c r="C9" i="3" s="1"/>
  <c r="C13" i="3" s="1"/>
  <c r="G38" i="8"/>
  <c r="C18" i="3" s="1"/>
  <c r="E18" i="3" s="1"/>
  <c r="Q12" i="7"/>
  <c r="AH12" i="7"/>
  <c r="J28" i="8"/>
  <c r="J38" i="8" s="1"/>
  <c r="O125" i="5"/>
  <c r="V111" i="5"/>
  <c r="V125" i="5" s="1"/>
  <c r="O143" i="5"/>
  <c r="H157" i="5"/>
  <c r="U14" i="7"/>
  <c r="O14" i="7"/>
  <c r="AP14" i="7"/>
  <c r="D38" i="8"/>
  <c r="C10" i="3" s="1"/>
  <c r="E10" i="3" s="1"/>
  <c r="F28" i="8"/>
  <c r="F38" i="8" s="1"/>
  <c r="C17" i="3" s="1"/>
  <c r="V109" i="5"/>
  <c r="V123" i="5" s="1"/>
  <c r="O123" i="5"/>
  <c r="H155" i="5"/>
  <c r="O141" i="5"/>
  <c r="C118" i="10"/>
  <c r="D118" i="10" s="1"/>
  <c r="C46" i="10"/>
  <c r="V117" i="5"/>
  <c r="V131" i="5" s="1"/>
  <c r="O131" i="5"/>
  <c r="H163" i="5"/>
  <c r="O149" i="5"/>
  <c r="D15" i="2"/>
  <c r="M450" i="5"/>
  <c r="A188" i="5"/>
  <c r="A203" i="5" s="1"/>
  <c r="A218" i="5" s="1"/>
  <c r="M14" i="8"/>
  <c r="C14" i="8" s="1"/>
  <c r="N14" i="8"/>
  <c r="G14" i="8" s="1"/>
  <c r="AL14" i="7"/>
  <c r="AQ13" i="7"/>
  <c r="AN13" i="7"/>
  <c r="C63" i="10"/>
  <c r="F81" i="10"/>
  <c r="C81" i="10"/>
  <c r="O110" i="5"/>
  <c r="H124" i="5"/>
  <c r="K15" i="5"/>
  <c r="A156" i="5"/>
  <c r="H142" i="5"/>
  <c r="L15" i="8"/>
  <c r="AO15" i="7"/>
  <c r="V15" i="7"/>
  <c r="C16" i="7"/>
  <c r="I6" i="1"/>
  <c r="K14" i="5"/>
  <c r="K16" i="5" s="1"/>
  <c r="K3" i="5"/>
  <c r="D21" i="2"/>
  <c r="B8" i="5"/>
  <c r="G10" i="5"/>
  <c r="G30" i="2"/>
  <c r="G15" i="2"/>
  <c r="G4" i="2"/>
  <c r="J19" i="3"/>
  <c r="M19" i="3"/>
  <c r="I19" i="3"/>
  <c r="O19" i="3"/>
  <c r="B5" i="5"/>
  <c r="K19" i="3"/>
  <c r="H19" i="3"/>
  <c r="D7" i="2"/>
  <c r="N19" i="3"/>
  <c r="L19" i="3"/>
  <c r="G12" i="5"/>
  <c r="G14" i="5" s="1"/>
  <c r="G21" i="2"/>
  <c r="D14" i="2"/>
  <c r="D16" i="2" s="1"/>
  <c r="C32" i="3"/>
  <c r="E32" i="3"/>
  <c r="O153" i="5" l="1"/>
  <c r="V139" i="5"/>
  <c r="V153" i="5" s="1"/>
  <c r="V145" i="5"/>
  <c r="V159" i="5" s="1"/>
  <c r="O159" i="5"/>
  <c r="O158" i="5"/>
  <c r="V144" i="5"/>
  <c r="V158" i="5" s="1"/>
  <c r="W139" i="5"/>
  <c r="W153" i="5" s="1"/>
  <c r="P153" i="5"/>
  <c r="V150" i="5"/>
  <c r="V164" i="5" s="1"/>
  <c r="O164" i="5"/>
  <c r="O162" i="5"/>
  <c r="V148" i="5"/>
  <c r="V162" i="5" s="1"/>
  <c r="C31" i="3"/>
  <c r="E9" i="3"/>
  <c r="C12" i="3"/>
  <c r="E12" i="3" s="1"/>
  <c r="H156" i="5"/>
  <c r="O142" i="5"/>
  <c r="O155" i="5"/>
  <c r="V141" i="5"/>
  <c r="V155" i="5" s="1"/>
  <c r="D97" i="10"/>
  <c r="C53" i="10"/>
  <c r="F14" i="8"/>
  <c r="H14" i="8"/>
  <c r="L16" i="8"/>
  <c r="AO16" i="7"/>
  <c r="V16" i="7"/>
  <c r="C17" i="7"/>
  <c r="O124" i="5"/>
  <c r="V110" i="5"/>
  <c r="V124" i="5" s="1"/>
  <c r="E17" i="3"/>
  <c r="C22" i="3"/>
  <c r="U15" i="7"/>
  <c r="O15" i="7"/>
  <c r="AP15" i="7"/>
  <c r="D14" i="8"/>
  <c r="J14" i="8" s="1"/>
  <c r="O163" i="5"/>
  <c r="V149" i="5"/>
  <c r="V163" i="5" s="1"/>
  <c r="C51" i="10"/>
  <c r="C60" i="10"/>
  <c r="O157" i="5"/>
  <c r="V143" i="5"/>
  <c r="V157" i="5" s="1"/>
  <c r="AJ12" i="7"/>
  <c r="AJ35" i="7" s="1"/>
  <c r="AJ48" i="7" s="1"/>
  <c r="G37" i="2" s="1"/>
  <c r="D42" i="2" s="1"/>
  <c r="K10" i="5" s="1"/>
  <c r="AH35" i="7"/>
  <c r="AH48" i="7" s="1"/>
  <c r="G35" i="2" s="1"/>
  <c r="C21" i="3"/>
  <c r="I31" i="1"/>
  <c r="J31" i="1" s="1"/>
  <c r="I29" i="1"/>
  <c r="J29" i="1" s="1"/>
  <c r="I28" i="1"/>
  <c r="J28" i="1" s="1"/>
  <c r="I27" i="1"/>
  <c r="J27" i="1" s="1"/>
  <c r="I23" i="1"/>
  <c r="J23" i="1" s="1"/>
  <c r="I20" i="1"/>
  <c r="J20" i="1" s="1"/>
  <c r="I17" i="1"/>
  <c r="J17" i="1" s="1"/>
  <c r="I15" i="1"/>
  <c r="J15" i="1" s="1"/>
  <c r="I24" i="1"/>
  <c r="J24" i="1" s="1"/>
  <c r="I26" i="1"/>
  <c r="J26" i="1" s="1"/>
  <c r="I18" i="1"/>
  <c r="J18" i="1" s="1"/>
  <c r="I14" i="1"/>
  <c r="J14" i="1" s="1"/>
  <c r="I30" i="1"/>
  <c r="J30" i="1" s="1"/>
  <c r="I25" i="1"/>
  <c r="J25" i="1" s="1"/>
  <c r="I19" i="1"/>
  <c r="J19" i="1" s="1"/>
  <c r="I22" i="1"/>
  <c r="J22" i="1" s="1"/>
  <c r="I16" i="1"/>
  <c r="J16" i="1" s="1"/>
  <c r="I12" i="1"/>
  <c r="J12" i="1" s="1"/>
  <c r="I32" i="1"/>
  <c r="J32" i="1" s="1"/>
  <c r="I21" i="1"/>
  <c r="J21" i="1" s="1"/>
  <c r="I13" i="1"/>
  <c r="J13" i="1" s="1"/>
  <c r="AL15" i="7"/>
  <c r="M15" i="8"/>
  <c r="C15" i="8" s="1"/>
  <c r="N15" i="8"/>
  <c r="G15" i="8" s="1"/>
  <c r="F118" i="10"/>
  <c r="E118" i="10"/>
  <c r="G118" i="10" s="1"/>
  <c r="C127" i="10" s="1"/>
  <c r="S12" i="7"/>
  <c r="S35" i="7" s="1"/>
  <c r="S48" i="7" s="1"/>
  <c r="G11" i="2" s="1"/>
  <c r="Q35" i="7"/>
  <c r="Q48" i="7" s="1"/>
  <c r="G9" i="2" s="1"/>
  <c r="AN12" i="7"/>
  <c r="B15" i="5"/>
  <c r="B53" i="5"/>
  <c r="E53" i="5" s="1"/>
  <c r="F53" i="5" s="1"/>
  <c r="B57" i="5"/>
  <c r="E57" i="5" s="1"/>
  <c r="F57" i="5" s="1"/>
  <c r="B48" i="5"/>
  <c r="B16" i="5"/>
  <c r="B50" i="5"/>
  <c r="B56" i="5"/>
  <c r="E56" i="5" s="1"/>
  <c r="F56" i="5" s="1"/>
  <c r="B49" i="5"/>
  <c r="E49" i="5" s="1"/>
  <c r="F49" i="5" s="1"/>
  <c r="B51" i="5"/>
  <c r="E51" i="5" s="1"/>
  <c r="F51" i="5" s="1"/>
  <c r="B52" i="5"/>
  <c r="E52" i="5" s="1"/>
  <c r="F52" i="5" s="1"/>
  <c r="B58" i="5"/>
  <c r="B54" i="5"/>
  <c r="E54" i="5" s="1"/>
  <c r="F54" i="5" s="1"/>
  <c r="B55" i="5"/>
  <c r="E55" i="5" s="1"/>
  <c r="F55" i="5" s="1"/>
  <c r="M20" i="3"/>
  <c r="D237" i="5"/>
  <c r="D235" i="5" s="1"/>
  <c r="H20" i="3"/>
  <c r="D11" i="5"/>
  <c r="D4" i="5"/>
  <c r="B7" i="5"/>
  <c r="L20" i="3"/>
  <c r="O20" i="3"/>
  <c r="J20" i="3"/>
  <c r="D271" i="5"/>
  <c r="D9" i="6"/>
  <c r="D14" i="6" s="1"/>
  <c r="G31" i="2"/>
  <c r="K17" i="5"/>
  <c r="N20" i="3"/>
  <c r="K20" i="3"/>
  <c r="I20" i="3"/>
  <c r="D254" i="5"/>
  <c r="D252" i="5" s="1"/>
  <c r="E13" i="3" l="1"/>
  <c r="E31" i="3"/>
  <c r="E127" i="10"/>
  <c r="AH14" i="7"/>
  <c r="AJ14" i="7" s="1"/>
  <c r="Q14" i="7"/>
  <c r="C73" i="10"/>
  <c r="C82" i="10"/>
  <c r="F73" i="10"/>
  <c r="C64" i="10"/>
  <c r="F82" i="10"/>
  <c r="L17" i="8"/>
  <c r="C18" i="7"/>
  <c r="AO17" i="7"/>
  <c r="V17" i="7"/>
  <c r="G11" i="5"/>
  <c r="G14" i="2"/>
  <c r="E21" i="3"/>
  <c r="E28" i="3" s="1"/>
  <c r="E22" i="3"/>
  <c r="O156" i="5"/>
  <c r="V142" i="5"/>
  <c r="V156" i="5" s="1"/>
  <c r="H15" i="8"/>
  <c r="F15" i="8"/>
  <c r="O16" i="7"/>
  <c r="U16" i="7"/>
  <c r="AP16" i="7"/>
  <c r="C72" i="10"/>
  <c r="F72" i="10"/>
  <c r="I35" i="1"/>
  <c r="J35" i="1"/>
  <c r="I41" i="1" s="1"/>
  <c r="AQ12" i="7"/>
  <c r="D15" i="8"/>
  <c r="J15" i="8"/>
  <c r="K5" i="5"/>
  <c r="S52" i="5" s="1"/>
  <c r="T52" i="5" s="1"/>
  <c r="G41" i="2"/>
  <c r="C119" i="10"/>
  <c r="D119" i="10" s="1"/>
  <c r="C47" i="10"/>
  <c r="C52" i="10" s="1"/>
  <c r="M16" i="8"/>
  <c r="C16" i="8" s="1"/>
  <c r="AL16" i="7"/>
  <c r="N16" i="8"/>
  <c r="G16" i="8" s="1"/>
  <c r="F97" i="10"/>
  <c r="E97" i="10"/>
  <c r="C28" i="3"/>
  <c r="I56" i="5"/>
  <c r="J56" i="5" s="1"/>
  <c r="I57" i="5"/>
  <c r="J57" i="5" s="1"/>
  <c r="I53" i="5"/>
  <c r="J53" i="5" s="1"/>
  <c r="I54" i="5"/>
  <c r="J54" i="5" s="1"/>
  <c r="C277" i="5"/>
  <c r="D277" i="5" s="1"/>
  <c r="D270" i="5"/>
  <c r="D6" i="5"/>
  <c r="J25" i="3"/>
  <c r="J21" i="3"/>
  <c r="J22" i="3" s="1"/>
  <c r="J23" i="3" s="1"/>
  <c r="B78" i="5"/>
  <c r="M58" i="5"/>
  <c r="N58" i="5" s="1"/>
  <c r="O58" i="5" s="1"/>
  <c r="B72" i="5"/>
  <c r="M52" i="5"/>
  <c r="N52" i="5" s="1"/>
  <c r="O52" i="5" s="1"/>
  <c r="E58" i="5"/>
  <c r="F58" i="5" s="1"/>
  <c r="C260" i="5"/>
  <c r="D260" i="5" s="1"/>
  <c r="D253" i="5"/>
  <c r="I52" i="5"/>
  <c r="J52" i="5" s="1"/>
  <c r="I50" i="5"/>
  <c r="J50" i="5" s="1"/>
  <c r="L25" i="3"/>
  <c r="L21" i="3"/>
  <c r="L22" i="3" s="1"/>
  <c r="B75" i="5"/>
  <c r="M55" i="5"/>
  <c r="N55" i="5" s="1"/>
  <c r="O55" i="5" s="1"/>
  <c r="E50" i="5"/>
  <c r="F50" i="5" s="1"/>
  <c r="B71" i="5"/>
  <c r="M51" i="5"/>
  <c r="N51" i="5" s="1"/>
  <c r="O51" i="5" s="1"/>
  <c r="B69" i="5"/>
  <c r="M49" i="5"/>
  <c r="N49" i="5" s="1"/>
  <c r="O49" i="5" s="1"/>
  <c r="B68" i="5"/>
  <c r="M48" i="5"/>
  <c r="N48" i="5" s="1"/>
  <c r="O48" i="5" s="1"/>
  <c r="I25" i="3"/>
  <c r="I21" i="3"/>
  <c r="I22" i="3" s="1"/>
  <c r="N21" i="3"/>
  <c r="N22" i="3" s="1"/>
  <c r="N25" i="3"/>
  <c r="I48" i="5"/>
  <c r="J48" i="5" s="1"/>
  <c r="O25" i="3"/>
  <c r="O21" i="3"/>
  <c r="O22" i="3" s="1"/>
  <c r="H25" i="3"/>
  <c r="H21" i="3"/>
  <c r="H22" i="3" s="1"/>
  <c r="E48" i="5"/>
  <c r="F48" i="5" s="1"/>
  <c r="B76" i="5"/>
  <c r="M56" i="5"/>
  <c r="N56" i="5" s="1"/>
  <c r="O56" i="5" s="1"/>
  <c r="B77" i="5"/>
  <c r="M57" i="5"/>
  <c r="N57" i="5" s="1"/>
  <c r="O57" i="5" s="1"/>
  <c r="B73" i="5"/>
  <c r="M53" i="5"/>
  <c r="N53" i="5" s="1"/>
  <c r="O53" i="5" s="1"/>
  <c r="K25" i="3"/>
  <c r="K21" i="3"/>
  <c r="K22" i="3" s="1"/>
  <c r="D236" i="5"/>
  <c r="C243" i="5"/>
  <c r="D243" i="5" s="1"/>
  <c r="M25" i="3"/>
  <c r="M21" i="3"/>
  <c r="M22" i="3" s="1"/>
  <c r="B74" i="5"/>
  <c r="M54" i="5"/>
  <c r="N54" i="5" s="1"/>
  <c r="O54" i="5" s="1"/>
  <c r="B70" i="5"/>
  <c r="M50" i="5"/>
  <c r="N50" i="5" s="1"/>
  <c r="O50" i="5" s="1"/>
  <c r="D10" i="5"/>
  <c r="D3" i="5"/>
  <c r="D9" i="5"/>
  <c r="N17" i="3" l="1"/>
  <c r="E29" i="3"/>
  <c r="M17" i="3"/>
  <c r="E36" i="3"/>
  <c r="E39" i="3" s="1"/>
  <c r="M18" i="3" s="1"/>
  <c r="E33" i="3"/>
  <c r="C44" i="3"/>
  <c r="G14" i="6" s="1"/>
  <c r="O17" i="3"/>
  <c r="H16" i="8"/>
  <c r="F16" i="8"/>
  <c r="S54" i="5"/>
  <c r="T54" i="5" s="1"/>
  <c r="C33" i="3"/>
  <c r="N14" i="3"/>
  <c r="H14" i="3"/>
  <c r="J17" i="3"/>
  <c r="H17" i="3"/>
  <c r="I17" i="3"/>
  <c r="M14" i="3"/>
  <c r="J14" i="3"/>
  <c r="L17" i="3"/>
  <c r="I14" i="3"/>
  <c r="L14" i="3"/>
  <c r="C36" i="3"/>
  <c r="C39" i="3" s="1"/>
  <c r="K14" i="3"/>
  <c r="O14" i="3"/>
  <c r="K17" i="3"/>
  <c r="C83" i="10"/>
  <c r="F74" i="10"/>
  <c r="C65" i="10"/>
  <c r="C74" i="10"/>
  <c r="F83" i="10"/>
  <c r="Q15" i="7"/>
  <c r="AH15" i="7"/>
  <c r="AJ15" i="7" s="1"/>
  <c r="I38" i="1"/>
  <c r="AL17" i="7"/>
  <c r="M17" i="8"/>
  <c r="C17" i="8" s="1"/>
  <c r="N17" i="8"/>
  <c r="G17" i="8" s="1"/>
  <c r="S14" i="7"/>
  <c r="AQ14" i="7" s="1"/>
  <c r="AN14" i="7"/>
  <c r="S58" i="5"/>
  <c r="T58" i="5" s="1"/>
  <c r="E40" i="3"/>
  <c r="D16" i="8"/>
  <c r="J16" i="8"/>
  <c r="F119" i="10"/>
  <c r="G119" i="10" s="1"/>
  <c r="C128" i="10" s="1"/>
  <c r="E119" i="10"/>
  <c r="G15" i="5"/>
  <c r="G5" i="2"/>
  <c r="G16" i="2"/>
  <c r="K7" i="5"/>
  <c r="U52" i="5" s="1"/>
  <c r="S55" i="5"/>
  <c r="T55" i="5" s="1"/>
  <c r="S49" i="5"/>
  <c r="T49" i="5" s="1"/>
  <c r="S53" i="5"/>
  <c r="T53" i="5" s="1"/>
  <c r="S48" i="5"/>
  <c r="T48" i="5" s="1"/>
  <c r="U48" i="5" s="1"/>
  <c r="S57" i="5"/>
  <c r="T57" i="5" s="1"/>
  <c r="S51" i="5"/>
  <c r="T51" i="5" s="1"/>
  <c r="S56" i="5"/>
  <c r="T56" i="5" s="1"/>
  <c r="K9" i="5"/>
  <c r="G42" i="2"/>
  <c r="C29" i="3"/>
  <c r="I49" i="5"/>
  <c r="J49" i="5" s="1"/>
  <c r="K49" i="5" s="1"/>
  <c r="I58" i="5"/>
  <c r="J58" i="5" s="1"/>
  <c r="G13" i="5"/>
  <c r="K52" i="5" s="1"/>
  <c r="I51" i="5"/>
  <c r="J51" i="5" s="1"/>
  <c r="I55" i="5"/>
  <c r="J55" i="5" s="1"/>
  <c r="K55" i="5" s="1"/>
  <c r="U17" i="7"/>
  <c r="AP17" i="7"/>
  <c r="O17" i="7"/>
  <c r="C54" i="10"/>
  <c r="D98" i="10"/>
  <c r="S50" i="5"/>
  <c r="T50" i="5" s="1"/>
  <c r="L18" i="8"/>
  <c r="V18" i="7"/>
  <c r="C19" i="7"/>
  <c r="AO18" i="7"/>
  <c r="C40" i="3"/>
  <c r="N26" i="3"/>
  <c r="O26" i="3"/>
  <c r="K26" i="3"/>
  <c r="J26" i="3"/>
  <c r="B117" i="5"/>
  <c r="H26" i="3"/>
  <c r="I26" i="3"/>
  <c r="B112" i="5"/>
  <c r="B110" i="5"/>
  <c r="B109" i="5"/>
  <c r="O15" i="3"/>
  <c r="N16" i="3"/>
  <c r="M16" i="3"/>
  <c r="O16" i="3"/>
  <c r="N15" i="3"/>
  <c r="M15" i="3"/>
  <c r="B114" i="5"/>
  <c r="B108" i="5"/>
  <c r="B111" i="5"/>
  <c r="L26" i="3"/>
  <c r="M26" i="3"/>
  <c r="B113" i="5"/>
  <c r="B116" i="5"/>
  <c r="B115" i="5"/>
  <c r="B118" i="5"/>
  <c r="U56" i="5" l="1"/>
  <c r="N18" i="3"/>
  <c r="U51" i="5"/>
  <c r="U58" i="5"/>
  <c r="O18" i="3"/>
  <c r="O23" i="3" s="1"/>
  <c r="O27" i="3" s="1"/>
  <c r="U50" i="5"/>
  <c r="K48" i="5"/>
  <c r="U49" i="5"/>
  <c r="U54" i="5"/>
  <c r="E128" i="10"/>
  <c r="E136" i="10" s="1"/>
  <c r="D136" i="10" s="1"/>
  <c r="G136" i="10" s="1"/>
  <c r="C136" i="10"/>
  <c r="C137" i="10" s="1"/>
  <c r="D99" i="10"/>
  <c r="C38" i="10"/>
  <c r="AL18" i="7"/>
  <c r="M18" i="8"/>
  <c r="C18" i="8" s="1"/>
  <c r="K51" i="5"/>
  <c r="J15" i="3"/>
  <c r="H16" i="3"/>
  <c r="L16" i="3"/>
  <c r="L18" i="3" s="1"/>
  <c r="K15" i="3"/>
  <c r="L15" i="3"/>
  <c r="I16" i="3"/>
  <c r="I15" i="3"/>
  <c r="H15" i="3"/>
  <c r="J16" i="3"/>
  <c r="J18" i="3" s="1"/>
  <c r="K16" i="3"/>
  <c r="K18" i="3" s="1"/>
  <c r="U57" i="5"/>
  <c r="U55" i="5"/>
  <c r="D26" i="2"/>
  <c r="B6" i="5"/>
  <c r="D13" i="5" s="1"/>
  <c r="D24" i="2"/>
  <c r="S15" i="7"/>
  <c r="AN15" i="7"/>
  <c r="AQ15" i="7"/>
  <c r="C84" i="10"/>
  <c r="C77" i="10" s="1"/>
  <c r="F84" i="10"/>
  <c r="U18" i="7"/>
  <c r="AP18" i="7"/>
  <c r="O18" i="7"/>
  <c r="Q16" i="7"/>
  <c r="AH16" i="7"/>
  <c r="AJ16" i="7" s="1"/>
  <c r="K53" i="5"/>
  <c r="H17" i="8"/>
  <c r="F17" i="8"/>
  <c r="H18" i="3"/>
  <c r="I18" i="3"/>
  <c r="K57" i="5"/>
  <c r="L19" i="8"/>
  <c r="C20" i="7"/>
  <c r="V19" i="7"/>
  <c r="AO19" i="7"/>
  <c r="F98" i="10"/>
  <c r="E98" i="10"/>
  <c r="K58" i="5"/>
  <c r="K50" i="5"/>
  <c r="U53" i="5"/>
  <c r="K56" i="5"/>
  <c r="D17" i="8"/>
  <c r="J17" i="8"/>
  <c r="K54" i="5"/>
  <c r="B130" i="5"/>
  <c r="B179" i="5" s="1"/>
  <c r="I116" i="5"/>
  <c r="B148" i="5"/>
  <c r="I111" i="5"/>
  <c r="B125" i="5"/>
  <c r="B174" i="5" s="1"/>
  <c r="B143" i="5"/>
  <c r="B128" i="5"/>
  <c r="B177" i="5" s="1"/>
  <c r="B146" i="5"/>
  <c r="I114" i="5"/>
  <c r="B141" i="5"/>
  <c r="I109" i="5"/>
  <c r="B123" i="5"/>
  <c r="B172" i="5" s="1"/>
  <c r="B187" i="5" s="1"/>
  <c r="B202" i="5" s="1"/>
  <c r="B217" i="5" s="1"/>
  <c r="B131" i="5"/>
  <c r="B180" i="5" s="1"/>
  <c r="B195" i="5" s="1"/>
  <c r="B210" i="5" s="1"/>
  <c r="B225" i="5" s="1"/>
  <c r="B149" i="5"/>
  <c r="I117" i="5"/>
  <c r="I115" i="5"/>
  <c r="B147" i="5"/>
  <c r="B129" i="5"/>
  <c r="B178" i="5" s="1"/>
  <c r="I113" i="5"/>
  <c r="B127" i="5"/>
  <c r="B176" i="5" s="1"/>
  <c r="B145" i="5"/>
  <c r="M24" i="3"/>
  <c r="M28" i="3" s="1"/>
  <c r="M23" i="3"/>
  <c r="M27" i="3" s="1"/>
  <c r="N24" i="3"/>
  <c r="N28" i="3" s="1"/>
  <c r="N23" i="3"/>
  <c r="N27" i="3" s="1"/>
  <c r="B142" i="5"/>
  <c r="I110" i="5"/>
  <c r="B124" i="5"/>
  <c r="B173" i="5" s="1"/>
  <c r="B132" i="5"/>
  <c r="B181" i="5" s="1"/>
  <c r="B196" i="5" s="1"/>
  <c r="I118" i="5"/>
  <c r="B150" i="5"/>
  <c r="B140" i="5"/>
  <c r="B122" i="5"/>
  <c r="B171" i="5" s="1"/>
  <c r="B186" i="5" s="1"/>
  <c r="B201" i="5" s="1"/>
  <c r="B216" i="5" s="1"/>
  <c r="I108" i="5"/>
  <c r="I112" i="5"/>
  <c r="B144" i="5"/>
  <c r="B126" i="5"/>
  <c r="B175" i="5" s="1"/>
  <c r="O24" i="3" l="1"/>
  <c r="O28" i="3" s="1"/>
  <c r="Q17" i="7"/>
  <c r="AH17" i="7"/>
  <c r="AJ17" i="7" s="1"/>
  <c r="M19" i="8"/>
  <c r="C19" i="8" s="1"/>
  <c r="AL19" i="7"/>
  <c r="N18" i="8"/>
  <c r="G18" i="8" s="1"/>
  <c r="F99" i="10"/>
  <c r="C102" i="10" s="1"/>
  <c r="E99" i="10"/>
  <c r="I24" i="3"/>
  <c r="I28" i="3" s="1"/>
  <c r="D257" i="5" s="1"/>
  <c r="C259" i="5" s="1"/>
  <c r="D259" i="5" s="1"/>
  <c r="I23" i="3"/>
  <c r="I27" i="3" s="1"/>
  <c r="C252" i="5" s="1"/>
  <c r="E252" i="5" s="1"/>
  <c r="O19" i="7"/>
  <c r="U19" i="7"/>
  <c r="AP19" i="7"/>
  <c r="S16" i="7"/>
  <c r="AQ16" i="7" s="1"/>
  <c r="AN16" i="7"/>
  <c r="B17" i="5"/>
  <c r="D5" i="5" s="1"/>
  <c r="D28" i="2"/>
  <c r="G19" i="6"/>
  <c r="L23" i="3"/>
  <c r="L27" i="3" s="1"/>
  <c r="L24" i="3"/>
  <c r="L28" i="3" s="1"/>
  <c r="J27" i="3"/>
  <c r="C269" i="5" s="1"/>
  <c r="J24" i="3"/>
  <c r="J28" i="3" s="1"/>
  <c r="D274" i="5" s="1"/>
  <c r="C276" i="5" s="1"/>
  <c r="D276" i="5" s="1"/>
  <c r="M16" i="7"/>
  <c r="M14" i="7"/>
  <c r="M17" i="7"/>
  <c r="M13" i="7"/>
  <c r="M15" i="7"/>
  <c r="M12" i="7"/>
  <c r="M35" i="7" s="1"/>
  <c r="M48" i="7" s="1"/>
  <c r="D35" i="2" s="1"/>
  <c r="D38" i="2" s="1"/>
  <c r="C101" i="10"/>
  <c r="C104" i="10"/>
  <c r="C103" i="10"/>
  <c r="AO20" i="7"/>
  <c r="V20" i="7"/>
  <c r="L20" i="8"/>
  <c r="D25" i="2"/>
  <c r="B10" i="5"/>
  <c r="G17" i="6"/>
  <c r="D18" i="8"/>
  <c r="H23" i="3"/>
  <c r="H27" i="3" s="1"/>
  <c r="C235" i="5" s="1"/>
  <c r="C236" i="5" s="1"/>
  <c r="H24" i="3"/>
  <c r="H28" i="3" s="1"/>
  <c r="D240" i="5" s="1"/>
  <c r="C242" i="5" s="1"/>
  <c r="D242" i="5" s="1"/>
  <c r="K23" i="3"/>
  <c r="K27" i="3" s="1"/>
  <c r="K24" i="3"/>
  <c r="K28" i="3" s="1"/>
  <c r="K30" i="3" s="1"/>
  <c r="N12" i="7"/>
  <c r="N35" i="7" s="1"/>
  <c r="N48" i="7" s="1"/>
  <c r="D36" i="2" s="1"/>
  <c r="N14" i="7"/>
  <c r="N16" i="7"/>
  <c r="N17" i="7"/>
  <c r="N15" i="7"/>
  <c r="N13" i="7"/>
  <c r="M30" i="3"/>
  <c r="I144" i="5"/>
  <c r="B158" i="5"/>
  <c r="I140" i="5"/>
  <c r="B154" i="5"/>
  <c r="N450" i="5"/>
  <c r="C241" i="5"/>
  <c r="C258" i="5" s="1"/>
  <c r="C275" i="5" s="1"/>
  <c r="B188" i="5"/>
  <c r="B203" i="5" s="1"/>
  <c r="B218" i="5" s="1"/>
  <c r="C253" i="5"/>
  <c r="N30" i="3"/>
  <c r="P115" i="5"/>
  <c r="I129" i="5"/>
  <c r="B163" i="5"/>
  <c r="I149" i="5"/>
  <c r="B155" i="5"/>
  <c r="I141" i="5"/>
  <c r="B157" i="5"/>
  <c r="I143" i="5"/>
  <c r="N451" i="5"/>
  <c r="B189" i="5"/>
  <c r="B204" i="5" s="1"/>
  <c r="B219" i="5" s="1"/>
  <c r="B190" i="5"/>
  <c r="B205" i="5" s="1"/>
  <c r="B220" i="5" s="1"/>
  <c r="N452" i="5"/>
  <c r="P118" i="5"/>
  <c r="I132" i="5"/>
  <c r="O30" i="3"/>
  <c r="B159" i="5"/>
  <c r="I145" i="5"/>
  <c r="I127" i="5"/>
  <c r="P113" i="5"/>
  <c r="N455" i="5"/>
  <c r="B193" i="5"/>
  <c r="B208" i="5" s="1"/>
  <c r="B223" i="5" s="1"/>
  <c r="P114" i="5"/>
  <c r="I128" i="5"/>
  <c r="B162" i="5"/>
  <c r="I148" i="5"/>
  <c r="B164" i="5"/>
  <c r="I150" i="5"/>
  <c r="I131" i="5"/>
  <c r="P117" i="5"/>
  <c r="B192" i="5"/>
  <c r="B207" i="5" s="1"/>
  <c r="B222" i="5" s="1"/>
  <c r="N454" i="5"/>
  <c r="B194" i="5"/>
  <c r="B209" i="5" s="1"/>
  <c r="B224" i="5" s="1"/>
  <c r="D241" i="5"/>
  <c r="D258" i="5" s="1"/>
  <c r="D275" i="5" s="1"/>
  <c r="P112" i="5"/>
  <c r="I126" i="5"/>
  <c r="I124" i="5"/>
  <c r="P110" i="5"/>
  <c r="I142" i="5"/>
  <c r="B156" i="5"/>
  <c r="P108" i="5"/>
  <c r="I122" i="5"/>
  <c r="B211" i="5"/>
  <c r="B236" i="5"/>
  <c r="B253" i="5"/>
  <c r="N453" i="5"/>
  <c r="B191" i="5"/>
  <c r="B206" i="5" s="1"/>
  <c r="B221" i="5" s="1"/>
  <c r="I147" i="5"/>
  <c r="B161" i="5"/>
  <c r="P109" i="5"/>
  <c r="I123" i="5"/>
  <c r="B160" i="5"/>
  <c r="I146" i="5"/>
  <c r="P111" i="5"/>
  <c r="I125" i="5"/>
  <c r="I130" i="5"/>
  <c r="P116" i="5"/>
  <c r="I30" i="3" l="1"/>
  <c r="L30" i="3"/>
  <c r="H30" i="3"/>
  <c r="E269" i="5"/>
  <c r="J30" i="3"/>
  <c r="C270" i="5"/>
  <c r="D19" i="8"/>
  <c r="U20" i="7"/>
  <c r="O20" i="7"/>
  <c r="AP20" i="7"/>
  <c r="E235" i="5"/>
  <c r="B11" i="5"/>
  <c r="D39" i="2"/>
  <c r="G18" i="6"/>
  <c r="D31" i="2"/>
  <c r="C41" i="3"/>
  <c r="D27" i="2"/>
  <c r="D40" i="2"/>
  <c r="J6" i="2" s="1"/>
  <c r="J8" i="2" s="1"/>
  <c r="D109" i="10"/>
  <c r="D108" i="10"/>
  <c r="N19" i="8"/>
  <c r="G19" i="8" s="1"/>
  <c r="H18" i="8"/>
  <c r="F18" i="8"/>
  <c r="M20" i="8"/>
  <c r="C20" i="8" s="1"/>
  <c r="AL20" i="7"/>
  <c r="N20" i="8"/>
  <c r="D29" i="2"/>
  <c r="G21" i="6"/>
  <c r="S17" i="7"/>
  <c r="AQ17" i="7" s="1"/>
  <c r="W109" i="5"/>
  <c r="P123" i="5"/>
  <c r="P122" i="5"/>
  <c r="W108" i="5"/>
  <c r="I158" i="5"/>
  <c r="P144" i="5"/>
  <c r="P130" i="5"/>
  <c r="W116" i="5"/>
  <c r="P147" i="5"/>
  <c r="I161" i="5"/>
  <c r="P142" i="5"/>
  <c r="I156" i="5"/>
  <c r="W112" i="5"/>
  <c r="P126" i="5"/>
  <c r="I155" i="5"/>
  <c r="P141" i="5"/>
  <c r="I160" i="5"/>
  <c r="P146" i="5"/>
  <c r="B270" i="5"/>
  <c r="B226" i="5"/>
  <c r="W113" i="5"/>
  <c r="P127" i="5"/>
  <c r="W118" i="5"/>
  <c r="P132" i="5"/>
  <c r="P143" i="5"/>
  <c r="I157" i="5"/>
  <c r="I163" i="5"/>
  <c r="P149" i="5"/>
  <c r="P140" i="5"/>
  <c r="I154" i="5"/>
  <c r="I164" i="5"/>
  <c r="P150" i="5"/>
  <c r="W114" i="5"/>
  <c r="P128" i="5"/>
  <c r="P124" i="5"/>
  <c r="W110" i="5"/>
  <c r="P148" i="5"/>
  <c r="I162" i="5"/>
  <c r="W111" i="5"/>
  <c r="P125" i="5"/>
  <c r="P131" i="5"/>
  <c r="W117" i="5"/>
  <c r="P145" i="5"/>
  <c r="I159" i="5"/>
  <c r="P129" i="5"/>
  <c r="W115" i="5"/>
  <c r="D30" i="2" l="1"/>
  <c r="G22" i="6"/>
  <c r="M18" i="7"/>
  <c r="N18" i="7"/>
  <c r="E41" i="3"/>
  <c r="E42" i="3" s="1"/>
  <c r="C42" i="3"/>
  <c r="B64" i="5"/>
  <c r="B63" i="5"/>
  <c r="B84" i="5"/>
  <c r="G20" i="8"/>
  <c r="J12" i="2"/>
  <c r="G10" i="6" s="1"/>
  <c r="G24" i="6"/>
  <c r="AN17" i="7"/>
  <c r="F19" i="8"/>
  <c r="H19" i="8"/>
  <c r="G20" i="6"/>
  <c r="B12" i="5"/>
  <c r="D20" i="8"/>
  <c r="J5" i="2"/>
  <c r="G16" i="5"/>
  <c r="L57" i="5" s="1"/>
  <c r="J18" i="8"/>
  <c r="W140" i="5"/>
  <c r="P154" i="5"/>
  <c r="P160" i="5"/>
  <c r="W146" i="5"/>
  <c r="W141" i="5"/>
  <c r="P155" i="5"/>
  <c r="W129" i="5"/>
  <c r="W122" i="5"/>
  <c r="W131" i="5"/>
  <c r="W132" i="5"/>
  <c r="W126" i="5"/>
  <c r="W147" i="5"/>
  <c r="P161" i="5"/>
  <c r="W125" i="5"/>
  <c r="W149" i="5"/>
  <c r="P163" i="5"/>
  <c r="W127" i="5"/>
  <c r="W142" i="5"/>
  <c r="P156" i="5"/>
  <c r="P158" i="5"/>
  <c r="W144" i="5"/>
  <c r="P159" i="5"/>
  <c r="W145" i="5"/>
  <c r="W148" i="5"/>
  <c r="P162" i="5"/>
  <c r="W124" i="5"/>
  <c r="W128" i="5"/>
  <c r="P164" i="5"/>
  <c r="W150" i="5"/>
  <c r="W143" i="5"/>
  <c r="P157" i="5"/>
  <c r="W130" i="5"/>
  <c r="W123" i="5"/>
  <c r="L58" i="5" l="1"/>
  <c r="M19" i="7"/>
  <c r="N19" i="7"/>
  <c r="J19" i="8"/>
  <c r="B95" i="5"/>
  <c r="L52" i="5"/>
  <c r="L50" i="5"/>
  <c r="L54" i="5"/>
  <c r="L56" i="5"/>
  <c r="L55" i="5"/>
  <c r="L53" i="5"/>
  <c r="M32" i="3"/>
  <c r="M33" i="3" s="1"/>
  <c r="O32" i="3"/>
  <c r="O33" i="3" s="1"/>
  <c r="N32" i="3"/>
  <c r="N33" i="3" s="1"/>
  <c r="I32" i="3"/>
  <c r="I33" i="3" s="1"/>
  <c r="L32" i="3"/>
  <c r="L33" i="3" s="1"/>
  <c r="J32" i="3"/>
  <c r="J33" i="3" s="1"/>
  <c r="D35" i="6" s="1"/>
  <c r="D44" i="6" s="1"/>
  <c r="K32" i="3"/>
  <c r="K33" i="3" s="1"/>
  <c r="H32" i="3"/>
  <c r="H33" i="3" s="1"/>
  <c r="AH18" i="7"/>
  <c r="AJ18" i="7" s="1"/>
  <c r="Q18" i="7"/>
  <c r="G52" i="5"/>
  <c r="G58" i="5"/>
  <c r="G53" i="5"/>
  <c r="G51" i="5"/>
  <c r="G57" i="5"/>
  <c r="G56" i="5"/>
  <c r="G50" i="5"/>
  <c r="G48" i="5"/>
  <c r="G54" i="5"/>
  <c r="G49" i="5"/>
  <c r="G55" i="5"/>
  <c r="D8" i="5"/>
  <c r="L29" i="2"/>
  <c r="L35" i="2"/>
  <c r="L27" i="2"/>
  <c r="L33" i="2"/>
  <c r="J7" i="2"/>
  <c r="J11" i="2" s="1"/>
  <c r="G9" i="6" s="1"/>
  <c r="L39" i="2"/>
  <c r="L31" i="2"/>
  <c r="L32" i="2"/>
  <c r="L30" i="2"/>
  <c r="L34" i="2"/>
  <c r="L36" i="2"/>
  <c r="L24" i="2"/>
  <c r="L37" i="2"/>
  <c r="L26" i="2"/>
  <c r="L28" i="2"/>
  <c r="L25" i="2"/>
  <c r="L38" i="2"/>
  <c r="L51" i="5"/>
  <c r="H20" i="8"/>
  <c r="F20" i="8"/>
  <c r="B83" i="5"/>
  <c r="B65" i="5"/>
  <c r="C75" i="5" s="1"/>
  <c r="D75" i="5" s="1"/>
  <c r="G23" i="6"/>
  <c r="J13" i="2"/>
  <c r="W155" i="5"/>
  <c r="W154" i="5"/>
  <c r="W158" i="5"/>
  <c r="W161" i="5"/>
  <c r="W159" i="5"/>
  <c r="W162" i="5"/>
  <c r="W163" i="5"/>
  <c r="W157" i="5"/>
  <c r="W164" i="5"/>
  <c r="W156" i="5"/>
  <c r="W160" i="5"/>
  <c r="C76" i="5" l="1"/>
  <c r="D76" i="5" s="1"/>
  <c r="C69" i="5"/>
  <c r="D69" i="5" s="1"/>
  <c r="D43" i="6"/>
  <c r="N20" i="7"/>
  <c r="M20" i="7"/>
  <c r="L25" i="8"/>
  <c r="J20" i="8"/>
  <c r="D194" i="5"/>
  <c r="E76" i="5"/>
  <c r="D209" i="5" s="1"/>
  <c r="F76" i="5"/>
  <c r="D224" i="5" s="1"/>
  <c r="Q19" i="7"/>
  <c r="AH19" i="7"/>
  <c r="AJ19" i="7" s="1"/>
  <c r="G11" i="6"/>
  <c r="J14" i="2"/>
  <c r="C55" i="5"/>
  <c r="D55" i="5" s="1"/>
  <c r="H55" i="5" s="1"/>
  <c r="W55" i="5" s="1"/>
  <c r="C178" i="5" s="1"/>
  <c r="C57" i="5"/>
  <c r="D57" i="5" s="1"/>
  <c r="H57" i="5" s="1"/>
  <c r="W57" i="5" s="1"/>
  <c r="C180" i="5" s="1"/>
  <c r="C51" i="5"/>
  <c r="D51" i="5" s="1"/>
  <c r="H51" i="5" s="1"/>
  <c r="W51" i="5" s="1"/>
  <c r="C174" i="5" s="1"/>
  <c r="C58" i="5"/>
  <c r="D58" i="5" s="1"/>
  <c r="H58" i="5" s="1"/>
  <c r="W58" i="5" s="1"/>
  <c r="C181" i="5" s="1"/>
  <c r="C49" i="5"/>
  <c r="D49" i="5" s="1"/>
  <c r="H49" i="5" s="1"/>
  <c r="W49" i="5" s="1"/>
  <c r="C172" i="5" s="1"/>
  <c r="C53" i="5"/>
  <c r="D53" i="5" s="1"/>
  <c r="H53" i="5" s="1"/>
  <c r="W53" i="5" s="1"/>
  <c r="C176" i="5" s="1"/>
  <c r="C50" i="5"/>
  <c r="D50" i="5" s="1"/>
  <c r="H50" i="5" s="1"/>
  <c r="W50" i="5" s="1"/>
  <c r="C173" i="5" s="1"/>
  <c r="C54" i="5"/>
  <c r="D54" i="5" s="1"/>
  <c r="H54" i="5" s="1"/>
  <c r="W54" i="5" s="1"/>
  <c r="C177" i="5" s="1"/>
  <c r="C56" i="5"/>
  <c r="D56" i="5" s="1"/>
  <c r="H56" i="5" s="1"/>
  <c r="W56" i="5" s="1"/>
  <c r="C179" i="5" s="1"/>
  <c r="C48" i="5"/>
  <c r="D48" i="5" s="1"/>
  <c r="H48" i="5" s="1"/>
  <c r="W48" i="5" s="1"/>
  <c r="C171" i="5" s="1"/>
  <c r="C52" i="5"/>
  <c r="D52" i="5" s="1"/>
  <c r="H52" i="5" s="1"/>
  <c r="W52" i="5" s="1"/>
  <c r="C175" i="5" s="1"/>
  <c r="E75" i="5"/>
  <c r="D208" i="5" s="1"/>
  <c r="D193" i="5"/>
  <c r="F75" i="5"/>
  <c r="D223" i="5" s="1"/>
  <c r="C70" i="5"/>
  <c r="D70" i="5" s="1"/>
  <c r="C72" i="5"/>
  <c r="D72" i="5" s="1"/>
  <c r="C78" i="5"/>
  <c r="D78" i="5" s="1"/>
  <c r="C77" i="5"/>
  <c r="D77" i="5" s="1"/>
  <c r="C73" i="5"/>
  <c r="D73" i="5" s="1"/>
  <c r="C68" i="5"/>
  <c r="D68" i="5" s="1"/>
  <c r="S18" i="7"/>
  <c r="B90" i="5"/>
  <c r="B91" i="5" s="1"/>
  <c r="C90" i="5"/>
  <c r="C91" i="5" s="1"/>
  <c r="D90" i="5"/>
  <c r="D91" i="5" s="1"/>
  <c r="B94" i="5"/>
  <c r="C102" i="5" s="1"/>
  <c r="C71" i="5"/>
  <c r="D71" i="5" s="1"/>
  <c r="C74" i="5"/>
  <c r="D74" i="5" s="1"/>
  <c r="E69" i="5" l="1"/>
  <c r="D202" i="5" s="1"/>
  <c r="F69" i="5"/>
  <c r="D217" i="5" s="1"/>
  <c r="D187" i="5"/>
  <c r="C194" i="5"/>
  <c r="E179" i="5"/>
  <c r="AN18" i="7"/>
  <c r="AQ18" i="7"/>
  <c r="D196" i="5"/>
  <c r="F78" i="5"/>
  <c r="D226" i="5" s="1"/>
  <c r="E78" i="5"/>
  <c r="D211" i="5" s="1"/>
  <c r="C193" i="5"/>
  <c r="E178" i="5"/>
  <c r="S19" i="7"/>
  <c r="AQ19" i="7"/>
  <c r="AN19" i="7"/>
  <c r="AH20" i="7"/>
  <c r="AJ20" i="7" s="1"/>
  <c r="Q20" i="7"/>
  <c r="Y117" i="5"/>
  <c r="R150" i="5"/>
  <c r="R146" i="5"/>
  <c r="Y113" i="5"/>
  <c r="Y109" i="5"/>
  <c r="Y110" i="5"/>
  <c r="Y145" i="5"/>
  <c r="D141" i="5"/>
  <c r="D149" i="5"/>
  <c r="R108" i="5"/>
  <c r="K149" i="5"/>
  <c r="K142" i="5"/>
  <c r="R117" i="5"/>
  <c r="D150" i="5"/>
  <c r="D113" i="5"/>
  <c r="R114" i="5"/>
  <c r="K145" i="5"/>
  <c r="D115" i="5"/>
  <c r="R112" i="5"/>
  <c r="K109" i="5"/>
  <c r="K150" i="5"/>
  <c r="Y118" i="5"/>
  <c r="Y150" i="5"/>
  <c r="Y112" i="5"/>
  <c r="R148" i="5"/>
  <c r="R140" i="5"/>
  <c r="R144" i="5"/>
  <c r="R142" i="5"/>
  <c r="Y141" i="5"/>
  <c r="Y140" i="5"/>
  <c r="R145" i="5"/>
  <c r="D143" i="5"/>
  <c r="D142" i="5"/>
  <c r="D118" i="5"/>
  <c r="R111" i="5"/>
  <c r="K146" i="5"/>
  <c r="K144" i="5"/>
  <c r="K118" i="5"/>
  <c r="K113" i="5"/>
  <c r="K112" i="5"/>
  <c r="D117" i="5"/>
  <c r="D110" i="5"/>
  <c r="R118" i="5"/>
  <c r="R115" i="5"/>
  <c r="D144" i="5"/>
  <c r="R143" i="5"/>
  <c r="Y115" i="5"/>
  <c r="R141" i="5"/>
  <c r="Y116" i="5"/>
  <c r="Y148" i="5"/>
  <c r="D147" i="5"/>
  <c r="K115" i="5"/>
  <c r="K111" i="5"/>
  <c r="D140" i="5"/>
  <c r="D108" i="5"/>
  <c r="R110" i="5"/>
  <c r="D145" i="5"/>
  <c r="R147" i="5"/>
  <c r="D148" i="5"/>
  <c r="R113" i="5"/>
  <c r="K116" i="5"/>
  <c r="D114" i="5"/>
  <c r="Y111" i="5"/>
  <c r="K141" i="5"/>
  <c r="D112" i="5"/>
  <c r="K114" i="5"/>
  <c r="K117" i="5"/>
  <c r="Y142" i="5"/>
  <c r="D146" i="5"/>
  <c r="D109" i="5"/>
  <c r="K108" i="5"/>
  <c r="K143" i="5"/>
  <c r="D111" i="5"/>
  <c r="K148" i="5"/>
  <c r="Y143" i="5"/>
  <c r="R149" i="5"/>
  <c r="Y146" i="5"/>
  <c r="D116" i="5"/>
  <c r="R109" i="5"/>
  <c r="R116" i="5"/>
  <c r="Y114" i="5"/>
  <c r="Y144" i="5"/>
  <c r="Y147" i="5"/>
  <c r="K110" i="5"/>
  <c r="K140" i="5"/>
  <c r="K147" i="5"/>
  <c r="Y149" i="5"/>
  <c r="Y108" i="5"/>
  <c r="E172" i="5"/>
  <c r="C187" i="5"/>
  <c r="D189" i="5"/>
  <c r="E71" i="5"/>
  <c r="D204" i="5" s="1"/>
  <c r="F71" i="5"/>
  <c r="D219" i="5" s="1"/>
  <c r="F68" i="5"/>
  <c r="D216" i="5" s="1"/>
  <c r="D186" i="5"/>
  <c r="E68" i="5"/>
  <c r="D201" i="5" s="1"/>
  <c r="D190" i="5"/>
  <c r="F72" i="5"/>
  <c r="D220" i="5" s="1"/>
  <c r="E72" i="5"/>
  <c r="D205" i="5" s="1"/>
  <c r="E177" i="5"/>
  <c r="C192" i="5"/>
  <c r="E181" i="5"/>
  <c r="C196" i="5"/>
  <c r="K33" i="2"/>
  <c r="M33" i="2" s="1"/>
  <c r="N33" i="2" s="1"/>
  <c r="D27" i="6" s="1"/>
  <c r="K32" i="2"/>
  <c r="M32" i="2" s="1"/>
  <c r="N32" i="2" s="1"/>
  <c r="D26" i="6" s="1"/>
  <c r="G12" i="6"/>
  <c r="K35" i="2"/>
  <c r="M35" i="2" s="1"/>
  <c r="N35" i="2" s="1"/>
  <c r="D29" i="6" s="1"/>
  <c r="K36" i="2"/>
  <c r="M36" i="2" s="1"/>
  <c r="N36" i="2" s="1"/>
  <c r="D30" i="6" s="1"/>
  <c r="K30" i="2"/>
  <c r="M30" i="2" s="1"/>
  <c r="N30" i="2" s="1"/>
  <c r="D24" i="6" s="1"/>
  <c r="K28" i="2"/>
  <c r="M28" i="2" s="1"/>
  <c r="N28" i="2" s="1"/>
  <c r="D22" i="6" s="1"/>
  <c r="K27" i="2"/>
  <c r="M27" i="2" s="1"/>
  <c r="N27" i="2" s="1"/>
  <c r="D21" i="6" s="1"/>
  <c r="K38" i="2"/>
  <c r="M38" i="2" s="1"/>
  <c r="N38" i="2" s="1"/>
  <c r="D32" i="6" s="1"/>
  <c r="K31" i="2"/>
  <c r="M31" i="2" s="1"/>
  <c r="N31" i="2" s="1"/>
  <c r="D25" i="6" s="1"/>
  <c r="K34" i="2"/>
  <c r="M34" i="2" s="1"/>
  <c r="N34" i="2" s="1"/>
  <c r="D28" i="6" s="1"/>
  <c r="K39" i="2"/>
  <c r="K37" i="2"/>
  <c r="M37" i="2" s="1"/>
  <c r="N37" i="2" s="1"/>
  <c r="D31" i="6" s="1"/>
  <c r="K26" i="2"/>
  <c r="M26" i="2" s="1"/>
  <c r="N26" i="2" s="1"/>
  <c r="D20" i="6" s="1"/>
  <c r="K24" i="2"/>
  <c r="M24" i="2" s="1"/>
  <c r="N24" i="2" s="1"/>
  <c r="K25" i="2"/>
  <c r="M25" i="2" s="1"/>
  <c r="N25" i="2" s="1"/>
  <c r="D19" i="6" s="1"/>
  <c r="K29" i="2"/>
  <c r="M29" i="2" s="1"/>
  <c r="N29" i="2" s="1"/>
  <c r="D23" i="6" s="1"/>
  <c r="E102" i="5"/>
  <c r="B102" i="5"/>
  <c r="D102" i="5"/>
  <c r="D191" i="5"/>
  <c r="F73" i="5"/>
  <c r="D221" i="5" s="1"/>
  <c r="E73" i="5"/>
  <c r="D206" i="5" s="1"/>
  <c r="F70" i="5"/>
  <c r="D218" i="5" s="1"/>
  <c r="D188" i="5"/>
  <c r="E70" i="5"/>
  <c r="D203" i="5" s="1"/>
  <c r="C190" i="5"/>
  <c r="E175" i="5"/>
  <c r="C188" i="5"/>
  <c r="E173" i="5"/>
  <c r="E174" i="5"/>
  <c r="C189" i="5"/>
  <c r="E74" i="5"/>
  <c r="D207" i="5" s="1"/>
  <c r="D192" i="5"/>
  <c r="F74" i="5"/>
  <c r="D222" i="5" s="1"/>
  <c r="D195" i="5"/>
  <c r="E77" i="5"/>
  <c r="D210" i="5" s="1"/>
  <c r="F77" i="5"/>
  <c r="D225" i="5" s="1"/>
  <c r="C186" i="5"/>
  <c r="E171" i="5"/>
  <c r="E176" i="5"/>
  <c r="C191" i="5"/>
  <c r="C195" i="5"/>
  <c r="E180" i="5"/>
  <c r="E195" i="5" l="1"/>
  <c r="C210" i="5"/>
  <c r="X110" i="5"/>
  <c r="C147" i="5"/>
  <c r="Q111" i="5"/>
  <c r="C148" i="5"/>
  <c r="Q114" i="5"/>
  <c r="Q142" i="5"/>
  <c r="X149" i="5"/>
  <c r="X111" i="5"/>
  <c r="X109" i="5"/>
  <c r="C116" i="5"/>
  <c r="C143" i="5"/>
  <c r="C144" i="5"/>
  <c r="X114" i="5"/>
  <c r="J141" i="5"/>
  <c r="C118" i="5"/>
  <c r="J115" i="5"/>
  <c r="X108" i="5"/>
  <c r="J118" i="5"/>
  <c r="J114" i="5"/>
  <c r="C146" i="5"/>
  <c r="X146" i="5"/>
  <c r="J143" i="5"/>
  <c r="X145" i="5"/>
  <c r="X117" i="5"/>
  <c r="C117" i="5"/>
  <c r="J147" i="5"/>
  <c r="J109" i="5"/>
  <c r="C149" i="5"/>
  <c r="J112" i="5"/>
  <c r="Q112" i="5"/>
  <c r="J116" i="5"/>
  <c r="X118" i="5"/>
  <c r="Q140" i="5"/>
  <c r="Q118" i="5"/>
  <c r="J145" i="5"/>
  <c r="J149" i="5"/>
  <c r="C145" i="5"/>
  <c r="X142" i="5"/>
  <c r="Q141" i="5"/>
  <c r="Q148" i="5"/>
  <c r="C141" i="5"/>
  <c r="J108" i="5"/>
  <c r="C115" i="5"/>
  <c r="Q145" i="5"/>
  <c r="X147" i="5"/>
  <c r="J140" i="5"/>
  <c r="C112" i="5"/>
  <c r="C142" i="5"/>
  <c r="J113" i="5"/>
  <c r="X143" i="5"/>
  <c r="X141" i="5"/>
  <c r="C114" i="5"/>
  <c r="J146" i="5"/>
  <c r="Q117" i="5"/>
  <c r="X112" i="5"/>
  <c r="X144" i="5"/>
  <c r="J150" i="5"/>
  <c r="C108" i="5"/>
  <c r="C150" i="5"/>
  <c r="J117" i="5"/>
  <c r="X150" i="5"/>
  <c r="Q143" i="5"/>
  <c r="Q116" i="5"/>
  <c r="J110" i="5"/>
  <c r="C140" i="5"/>
  <c r="Q147" i="5"/>
  <c r="X116" i="5"/>
  <c r="X115" i="5"/>
  <c r="Q109" i="5"/>
  <c r="Q115" i="5"/>
  <c r="C109" i="5"/>
  <c r="X140" i="5"/>
  <c r="Q146" i="5"/>
  <c r="C113" i="5"/>
  <c r="J148" i="5"/>
  <c r="X113" i="5"/>
  <c r="J142" i="5"/>
  <c r="X148" i="5"/>
  <c r="J144" i="5"/>
  <c r="Q113" i="5"/>
  <c r="Q110" i="5"/>
  <c r="Q150" i="5"/>
  <c r="Q144" i="5"/>
  <c r="C110" i="5"/>
  <c r="Q149" i="5"/>
  <c r="C111" i="5"/>
  <c r="Q108" i="5"/>
  <c r="J111" i="5"/>
  <c r="K161" i="5"/>
  <c r="V193" i="5"/>
  <c r="Y158" i="5"/>
  <c r="AB190" i="5"/>
  <c r="D130" i="5"/>
  <c r="G194" i="5"/>
  <c r="K162" i="5"/>
  <c r="V194" i="5"/>
  <c r="G187" i="5"/>
  <c r="D123" i="5"/>
  <c r="D128" i="5"/>
  <c r="G192" i="5"/>
  <c r="P454" i="5" s="1"/>
  <c r="D154" i="5"/>
  <c r="S186" i="5"/>
  <c r="AB194" i="5"/>
  <c r="Y162" i="5"/>
  <c r="R157" i="5"/>
  <c r="Y189" i="5"/>
  <c r="D124" i="5"/>
  <c r="G188" i="5"/>
  <c r="P450" i="5" s="1"/>
  <c r="K132" i="5"/>
  <c r="J196" i="5"/>
  <c r="G196" i="5"/>
  <c r="D132" i="5"/>
  <c r="AB186" i="5"/>
  <c r="Y154" i="5"/>
  <c r="R154" i="5"/>
  <c r="Y186" i="5"/>
  <c r="P196" i="5"/>
  <c r="Y132" i="5"/>
  <c r="G193" i="5"/>
  <c r="P455" i="5" s="1"/>
  <c r="D129" i="5"/>
  <c r="D164" i="5"/>
  <c r="S196" i="5"/>
  <c r="R122" i="5"/>
  <c r="M186" i="5"/>
  <c r="Y124" i="5"/>
  <c r="P188" i="5"/>
  <c r="R164" i="5"/>
  <c r="Y196" i="5"/>
  <c r="E193" i="5"/>
  <c r="C208" i="5"/>
  <c r="E191" i="5"/>
  <c r="C206" i="5"/>
  <c r="M108" i="5"/>
  <c r="F115" i="5"/>
  <c r="M147" i="5"/>
  <c r="M141" i="5"/>
  <c r="T118" i="5"/>
  <c r="M118" i="5"/>
  <c r="M110" i="5"/>
  <c r="F113" i="5"/>
  <c r="F109" i="5"/>
  <c r="F150" i="5"/>
  <c r="T114" i="5"/>
  <c r="F110" i="5"/>
  <c r="F140" i="5"/>
  <c r="M115" i="5"/>
  <c r="AA108" i="5"/>
  <c r="T148" i="5"/>
  <c r="T141" i="5"/>
  <c r="AA118" i="5"/>
  <c r="T143" i="5"/>
  <c r="T150" i="5"/>
  <c r="AA144" i="5"/>
  <c r="AA143" i="5"/>
  <c r="AA142" i="5"/>
  <c r="M144" i="5"/>
  <c r="M148" i="5"/>
  <c r="M113" i="5"/>
  <c r="F108" i="5"/>
  <c r="F146" i="5"/>
  <c r="F116" i="5"/>
  <c r="AA111" i="5"/>
  <c r="T144" i="5"/>
  <c r="M117" i="5"/>
  <c r="F118" i="5"/>
  <c r="M142" i="5"/>
  <c r="M111" i="5"/>
  <c r="M140" i="5"/>
  <c r="T115" i="5"/>
  <c r="M150" i="5"/>
  <c r="F147" i="5"/>
  <c r="F111" i="5"/>
  <c r="T113" i="5"/>
  <c r="T111" i="5"/>
  <c r="F117" i="5"/>
  <c r="T108" i="5"/>
  <c r="T110" i="5"/>
  <c r="AA117" i="5"/>
  <c r="T146" i="5"/>
  <c r="T147" i="5"/>
  <c r="AA112" i="5"/>
  <c r="AA116" i="5"/>
  <c r="AA147" i="5"/>
  <c r="AA146" i="5"/>
  <c r="M112" i="5"/>
  <c r="T112" i="5"/>
  <c r="M146" i="5"/>
  <c r="F145" i="5"/>
  <c r="M145" i="5"/>
  <c r="M143" i="5"/>
  <c r="F149" i="5"/>
  <c r="T117" i="5"/>
  <c r="AA113" i="5"/>
  <c r="T149" i="5"/>
  <c r="M114" i="5"/>
  <c r="F112" i="5"/>
  <c r="F143" i="5"/>
  <c r="T142" i="5"/>
  <c r="AA115" i="5"/>
  <c r="AA141" i="5"/>
  <c r="F114" i="5"/>
  <c r="T116" i="5"/>
  <c r="AA109" i="5"/>
  <c r="M109" i="5"/>
  <c r="M149" i="5"/>
  <c r="AA110" i="5"/>
  <c r="AA140" i="5"/>
  <c r="AA150" i="5"/>
  <c r="F142" i="5"/>
  <c r="T109" i="5"/>
  <c r="F141" i="5"/>
  <c r="T145" i="5"/>
  <c r="AA114" i="5"/>
  <c r="AA145" i="5"/>
  <c r="AA148" i="5"/>
  <c r="AA149" i="5"/>
  <c r="F148" i="5"/>
  <c r="M116" i="5"/>
  <c r="F144" i="5"/>
  <c r="T140" i="5"/>
  <c r="C207" i="5"/>
  <c r="E192" i="5"/>
  <c r="K154" i="5"/>
  <c r="V186" i="5"/>
  <c r="Y128" i="5"/>
  <c r="P192" i="5"/>
  <c r="Y160" i="5"/>
  <c r="AB192" i="5"/>
  <c r="G189" i="5"/>
  <c r="P451" i="5" s="1"/>
  <c r="D125" i="5"/>
  <c r="S192" i="5"/>
  <c r="D160" i="5"/>
  <c r="D126" i="5"/>
  <c r="G190" i="5"/>
  <c r="P452" i="5" s="1"/>
  <c r="K130" i="5"/>
  <c r="J194" i="5"/>
  <c r="D159" i="5"/>
  <c r="S191" i="5"/>
  <c r="J189" i="5"/>
  <c r="K125" i="5"/>
  <c r="P194" i="5"/>
  <c r="Y130" i="5"/>
  <c r="S190" i="5"/>
  <c r="D158" i="5"/>
  <c r="D131" i="5"/>
  <c r="G195" i="5"/>
  <c r="K158" i="5"/>
  <c r="V190" i="5"/>
  <c r="S188" i="5"/>
  <c r="D156" i="5"/>
  <c r="AB187" i="5"/>
  <c r="Y155" i="5"/>
  <c r="R162" i="5"/>
  <c r="Y194" i="5"/>
  <c r="V196" i="5"/>
  <c r="K164" i="5"/>
  <c r="V191" i="5"/>
  <c r="K159" i="5"/>
  <c r="R131" i="5"/>
  <c r="M195" i="5"/>
  <c r="D163" i="5"/>
  <c r="S195" i="5"/>
  <c r="Y123" i="5"/>
  <c r="P187" i="5"/>
  <c r="P195" i="5"/>
  <c r="Y131" i="5"/>
  <c r="N42" i="2"/>
  <c r="L42" i="2"/>
  <c r="D18" i="6"/>
  <c r="D46" i="6" s="1"/>
  <c r="J192" i="5"/>
  <c r="K128" i="5"/>
  <c r="C203" i="5"/>
  <c r="E188" i="5"/>
  <c r="Y122" i="5"/>
  <c r="P186" i="5"/>
  <c r="J188" i="5"/>
  <c r="K124" i="5"/>
  <c r="R130" i="5"/>
  <c r="M194" i="5"/>
  <c r="Y195" i="5"/>
  <c r="R163" i="5"/>
  <c r="K157" i="5"/>
  <c r="V189" i="5"/>
  <c r="AB188" i="5"/>
  <c r="Y156" i="5"/>
  <c r="V187" i="5"/>
  <c r="K155" i="5"/>
  <c r="R127" i="5"/>
  <c r="M191" i="5"/>
  <c r="R124" i="5"/>
  <c r="M188" i="5"/>
  <c r="J193" i="5"/>
  <c r="K129" i="5"/>
  <c r="Y187" i="5"/>
  <c r="R155" i="5"/>
  <c r="M193" i="5"/>
  <c r="R129" i="5"/>
  <c r="K126" i="5"/>
  <c r="J190" i="5"/>
  <c r="K160" i="5"/>
  <c r="V192" i="5"/>
  <c r="D157" i="5"/>
  <c r="S189" i="5"/>
  <c r="R156" i="5"/>
  <c r="Y188" i="5"/>
  <c r="Y126" i="5"/>
  <c r="P190" i="5"/>
  <c r="J187" i="5"/>
  <c r="K123" i="5"/>
  <c r="R128" i="5"/>
  <c r="M192" i="5"/>
  <c r="K156" i="5"/>
  <c r="V188" i="5"/>
  <c r="D155" i="5"/>
  <c r="S187" i="5"/>
  <c r="P191" i="5"/>
  <c r="Y127" i="5"/>
  <c r="S20" i="7"/>
  <c r="AQ20" i="7" s="1"/>
  <c r="AN20" i="7"/>
  <c r="E186" i="5"/>
  <c r="C201" i="5"/>
  <c r="C205" i="5"/>
  <c r="E190" i="5"/>
  <c r="E187" i="5"/>
  <c r="C202" i="5"/>
  <c r="Y193" i="5"/>
  <c r="R161" i="5"/>
  <c r="C204" i="5"/>
  <c r="E189" i="5"/>
  <c r="Z144" i="5"/>
  <c r="Z141" i="5"/>
  <c r="Z146" i="5"/>
  <c r="Z149" i="5"/>
  <c r="Z143" i="5"/>
  <c r="Z147" i="5"/>
  <c r="Z142" i="5"/>
  <c r="Z145" i="5"/>
  <c r="E146" i="5"/>
  <c r="L118" i="5"/>
  <c r="E113" i="5"/>
  <c r="L117" i="5"/>
  <c r="L115" i="5"/>
  <c r="E142" i="5"/>
  <c r="E118" i="5"/>
  <c r="E112" i="5"/>
  <c r="L144" i="5"/>
  <c r="L150" i="5"/>
  <c r="E144" i="5"/>
  <c r="L111" i="5"/>
  <c r="E115" i="5"/>
  <c r="E148" i="5"/>
  <c r="Z113" i="5"/>
  <c r="Z117" i="5"/>
  <c r="S146" i="5"/>
  <c r="S148" i="5"/>
  <c r="S142" i="5"/>
  <c r="Z109" i="5"/>
  <c r="S116" i="5"/>
  <c r="E147" i="5"/>
  <c r="S117" i="5"/>
  <c r="L147" i="5"/>
  <c r="S141" i="5"/>
  <c r="Z118" i="5"/>
  <c r="Z114" i="5"/>
  <c r="Z110" i="5"/>
  <c r="Z148" i="5"/>
  <c r="L116" i="5"/>
  <c r="E150" i="5"/>
  <c r="E109" i="5"/>
  <c r="L114" i="5"/>
  <c r="L140" i="5"/>
  <c r="E145" i="5"/>
  <c r="E117" i="5"/>
  <c r="S112" i="5"/>
  <c r="L146" i="5"/>
  <c r="S110" i="5"/>
  <c r="Z115" i="5"/>
  <c r="E149" i="5"/>
  <c r="S109" i="5"/>
  <c r="L142" i="5"/>
  <c r="S118" i="5"/>
  <c r="E143" i="5"/>
  <c r="L113" i="5"/>
  <c r="S108" i="5"/>
  <c r="E114" i="5"/>
  <c r="L141" i="5"/>
  <c r="L110" i="5"/>
  <c r="L149" i="5"/>
  <c r="L145" i="5"/>
  <c r="L109" i="5"/>
  <c r="L148" i="5"/>
  <c r="S144" i="5"/>
  <c r="S149" i="5"/>
  <c r="Z111" i="5"/>
  <c r="S150" i="5"/>
  <c r="Z108" i="5"/>
  <c r="Z140" i="5"/>
  <c r="E140" i="5"/>
  <c r="E110" i="5"/>
  <c r="S114" i="5"/>
  <c r="Z116" i="5"/>
  <c r="S143" i="5"/>
  <c r="E111" i="5"/>
  <c r="L108" i="5"/>
  <c r="S147" i="5"/>
  <c r="L143" i="5"/>
  <c r="E116" i="5"/>
  <c r="S140" i="5"/>
  <c r="Z150" i="5"/>
  <c r="E141" i="5"/>
  <c r="S111" i="5"/>
  <c r="S113" i="5"/>
  <c r="L112" i="5"/>
  <c r="S145" i="5"/>
  <c r="E108" i="5"/>
  <c r="S115" i="5"/>
  <c r="Z112" i="5"/>
  <c r="C34" i="10"/>
  <c r="C39" i="10" s="1"/>
  <c r="M39" i="2"/>
  <c r="N39" i="2" s="1"/>
  <c r="D33" i="6" s="1"/>
  <c r="D47" i="6" s="1"/>
  <c r="E196" i="5"/>
  <c r="C211" i="5"/>
  <c r="AB195" i="5"/>
  <c r="Y163" i="5"/>
  <c r="AB193" i="5"/>
  <c r="Y161" i="5"/>
  <c r="M187" i="5"/>
  <c r="R123" i="5"/>
  <c r="AB189" i="5"/>
  <c r="Y157" i="5"/>
  <c r="K122" i="5"/>
  <c r="J186" i="5"/>
  <c r="K131" i="5"/>
  <c r="J195" i="5"/>
  <c r="Y125" i="5"/>
  <c r="P189" i="5"/>
  <c r="D162" i="5"/>
  <c r="S194" i="5"/>
  <c r="D122" i="5"/>
  <c r="G186" i="5"/>
  <c r="S193" i="5"/>
  <c r="D161" i="5"/>
  <c r="Y129" i="5"/>
  <c r="P193" i="5"/>
  <c r="M196" i="5"/>
  <c r="R132" i="5"/>
  <c r="K127" i="5"/>
  <c r="J191" i="5"/>
  <c r="R125" i="5"/>
  <c r="M189" i="5"/>
  <c r="R159" i="5"/>
  <c r="Y191" i="5"/>
  <c r="Y190" i="5"/>
  <c r="R158" i="5"/>
  <c r="AB196" i="5"/>
  <c r="Y164" i="5"/>
  <c r="R126" i="5"/>
  <c r="M190" i="5"/>
  <c r="G191" i="5"/>
  <c r="D127" i="5"/>
  <c r="V195" i="5"/>
  <c r="K163" i="5"/>
  <c r="Y159" i="5"/>
  <c r="AB191" i="5"/>
  <c r="Y192" i="5"/>
  <c r="R160" i="5"/>
  <c r="E194" i="5"/>
  <c r="C209" i="5"/>
  <c r="C224" i="5" l="1"/>
  <c r="E224" i="5" s="1"/>
  <c r="E209" i="5"/>
  <c r="Z122" i="5"/>
  <c r="P201" i="5"/>
  <c r="L35" i="3"/>
  <c r="H35" i="3"/>
  <c r="O35" i="3"/>
  <c r="N35" i="3"/>
  <c r="I35" i="3"/>
  <c r="M18" i="2"/>
  <c r="J35" i="3"/>
  <c r="D273" i="5" s="1"/>
  <c r="K35" i="3"/>
  <c r="M35" i="3"/>
  <c r="V225" i="5"/>
  <c r="M163" i="5"/>
  <c r="M159" i="5"/>
  <c r="V221" i="5"/>
  <c r="T127" i="5"/>
  <c r="M221" i="5"/>
  <c r="AA158" i="5"/>
  <c r="AB220" i="5"/>
  <c r="T132" i="5"/>
  <c r="M226" i="5"/>
  <c r="Y181" i="5"/>
  <c r="Z181" i="5" s="1"/>
  <c r="Q164" i="5"/>
  <c r="X181" i="5" s="1"/>
  <c r="Q157" i="5"/>
  <c r="X174" i="5" s="1"/>
  <c r="Y174" i="5"/>
  <c r="C130" i="5"/>
  <c r="F179" i="5" s="1"/>
  <c r="G179" i="5"/>
  <c r="E122" i="5"/>
  <c r="G201" i="5"/>
  <c r="S125" i="5"/>
  <c r="M204" i="5"/>
  <c r="E130" i="5"/>
  <c r="G209" i="5"/>
  <c r="E125" i="5"/>
  <c r="G204" i="5"/>
  <c r="Q451" i="5" s="1"/>
  <c r="G203" i="5"/>
  <c r="E124" i="5"/>
  <c r="Y211" i="5"/>
  <c r="S164" i="5"/>
  <c r="V209" i="5"/>
  <c r="L162" i="5"/>
  <c r="L124" i="5"/>
  <c r="J203" i="5"/>
  <c r="J206" i="5"/>
  <c r="L127" i="5"/>
  <c r="S123" i="5"/>
  <c r="M202" i="5"/>
  <c r="V207" i="5"/>
  <c r="L160" i="5"/>
  <c r="V201" i="5"/>
  <c r="L154" i="5"/>
  <c r="L130" i="5"/>
  <c r="J209" i="5"/>
  <c r="P211" i="5"/>
  <c r="Z132" i="5"/>
  <c r="S208" i="5"/>
  <c r="E161" i="5"/>
  <c r="Y209" i="5"/>
  <c r="S162" i="5"/>
  <c r="S209" i="5"/>
  <c r="E162" i="5"/>
  <c r="V211" i="5"/>
  <c r="L164" i="5"/>
  <c r="S203" i="5"/>
  <c r="E156" i="5"/>
  <c r="J211" i="5"/>
  <c r="L132" i="5"/>
  <c r="AB208" i="5"/>
  <c r="Z161" i="5"/>
  <c r="AB202" i="5"/>
  <c r="Z155" i="5"/>
  <c r="E204" i="5"/>
  <c r="C219" i="5"/>
  <c r="E219" i="5" s="1"/>
  <c r="C220" i="5"/>
  <c r="E220" i="5" s="1"/>
  <c r="E205" i="5"/>
  <c r="E203" i="5"/>
  <c r="C218" i="5"/>
  <c r="E218" i="5" s="1"/>
  <c r="Y216" i="5"/>
  <c r="T154" i="5"/>
  <c r="AA163" i="5"/>
  <c r="AB225" i="5"/>
  <c r="T159" i="5"/>
  <c r="Y221" i="5"/>
  <c r="AA164" i="5"/>
  <c r="AB226" i="5"/>
  <c r="M123" i="5"/>
  <c r="J217" i="5"/>
  <c r="AB217" i="5"/>
  <c r="AA155" i="5"/>
  <c r="G220" i="5"/>
  <c r="R452" i="5" s="1"/>
  <c r="F126" i="5"/>
  <c r="T131" i="5"/>
  <c r="M225" i="5"/>
  <c r="S221" i="5"/>
  <c r="F159" i="5"/>
  <c r="AB222" i="5"/>
  <c r="AA160" i="5"/>
  <c r="Y223" i="5"/>
  <c r="T161" i="5"/>
  <c r="M216" i="5"/>
  <c r="T122" i="5"/>
  <c r="F125" i="5"/>
  <c r="G219" i="5"/>
  <c r="R451" i="5" s="1"/>
  <c r="M154" i="5"/>
  <c r="V216" i="5"/>
  <c r="M131" i="5"/>
  <c r="J225" i="5"/>
  <c r="F160" i="5"/>
  <c r="S222" i="5"/>
  <c r="M158" i="5"/>
  <c r="V220" i="5"/>
  <c r="T164" i="5"/>
  <c r="Y226" i="5"/>
  <c r="Y224" i="5"/>
  <c r="T162" i="5"/>
  <c r="G218" i="5"/>
  <c r="R450" i="5" s="1"/>
  <c r="F124" i="5"/>
  <c r="F127" i="5"/>
  <c r="G221" i="5"/>
  <c r="R453" i="5" s="1"/>
  <c r="V217" i="5"/>
  <c r="M155" i="5"/>
  <c r="U191" i="5"/>
  <c r="W191" i="5" s="1"/>
  <c r="O191" i="5"/>
  <c r="Q191" i="5" s="1"/>
  <c r="L191" i="5"/>
  <c r="AA191" i="5"/>
  <c r="AC191" i="5" s="1"/>
  <c r="X191" i="5"/>
  <c r="Z191" i="5" s="1"/>
  <c r="I191" i="5"/>
  <c r="K191" i="5" s="1"/>
  <c r="R191" i="5"/>
  <c r="T191" i="5" s="1"/>
  <c r="F191" i="5"/>
  <c r="Y180" i="5"/>
  <c r="Q163" i="5"/>
  <c r="X180" i="5" s="1"/>
  <c r="Q124" i="5"/>
  <c r="L173" i="5" s="1"/>
  <c r="M173" i="5"/>
  <c r="V173" i="5"/>
  <c r="J156" i="5"/>
  <c r="U173" i="5" s="1"/>
  <c r="Q160" i="5"/>
  <c r="X177" i="5" s="1"/>
  <c r="Y177" i="5"/>
  <c r="M172" i="5"/>
  <c r="Q123" i="5"/>
  <c r="L172" i="5" s="1"/>
  <c r="C154" i="5"/>
  <c r="R171" i="5" s="1"/>
  <c r="S171" i="5"/>
  <c r="X164" i="5"/>
  <c r="AA181" i="5" s="1"/>
  <c r="AB181" i="5"/>
  <c r="J164" i="5"/>
  <c r="U181" i="5" s="1"/>
  <c r="V181" i="5"/>
  <c r="V177" i="5"/>
  <c r="J160" i="5"/>
  <c r="U177" i="5" s="1"/>
  <c r="J127" i="5"/>
  <c r="I176" i="5" s="1"/>
  <c r="J176" i="5"/>
  <c r="X161" i="5"/>
  <c r="AA178" i="5" s="1"/>
  <c r="AB178" i="5"/>
  <c r="S172" i="5"/>
  <c r="C155" i="5"/>
  <c r="R172" i="5" s="1"/>
  <c r="S176" i="5"/>
  <c r="C159" i="5"/>
  <c r="R176" i="5" s="1"/>
  <c r="Q154" i="5"/>
  <c r="X171" i="5" s="1"/>
  <c r="Y171" i="5"/>
  <c r="J126" i="5"/>
  <c r="I175" i="5" s="1"/>
  <c r="J175" i="5"/>
  <c r="C131" i="5"/>
  <c r="F180" i="5" s="1"/>
  <c r="G180" i="5"/>
  <c r="X160" i="5"/>
  <c r="AA177" i="5" s="1"/>
  <c r="AB177" i="5"/>
  <c r="X122" i="5"/>
  <c r="O171" i="5" s="1"/>
  <c r="P171" i="5"/>
  <c r="P177" i="5"/>
  <c r="X128" i="5"/>
  <c r="O177" i="5" s="1"/>
  <c r="X123" i="5"/>
  <c r="O172" i="5" s="1"/>
  <c r="P172" i="5"/>
  <c r="Q128" i="5"/>
  <c r="L177" i="5" s="1"/>
  <c r="M177" i="5"/>
  <c r="X124" i="5"/>
  <c r="O173" i="5" s="1"/>
  <c r="P173" i="5"/>
  <c r="S129" i="5"/>
  <c r="M208" i="5"/>
  <c r="Y201" i="5"/>
  <c r="S154" i="5"/>
  <c r="J201" i="5"/>
  <c r="L122" i="5"/>
  <c r="Y205" i="5"/>
  <c r="S158" i="5"/>
  <c r="S122" i="5"/>
  <c r="M201" i="5"/>
  <c r="S124" i="5"/>
  <c r="M203" i="5"/>
  <c r="E164" i="5"/>
  <c r="S211" i="5"/>
  <c r="S131" i="5"/>
  <c r="M210" i="5"/>
  <c r="Z127" i="5"/>
  <c r="P206" i="5"/>
  <c r="E132" i="5"/>
  <c r="G211" i="5"/>
  <c r="AB203" i="5"/>
  <c r="Z156" i="5"/>
  <c r="X186" i="5"/>
  <c r="Z186" i="5" s="1"/>
  <c r="AA186" i="5"/>
  <c r="AC186" i="5" s="1"/>
  <c r="I186" i="5"/>
  <c r="K186" i="5" s="1"/>
  <c r="F186" i="5"/>
  <c r="H186" i="5" s="1"/>
  <c r="U186" i="5"/>
  <c r="W186" i="5" s="1"/>
  <c r="L186" i="5"/>
  <c r="N186" i="5" s="1"/>
  <c r="O186" i="5"/>
  <c r="Q186" i="5" s="1"/>
  <c r="R186" i="5"/>
  <c r="T186" i="5" s="1"/>
  <c r="E207" i="5"/>
  <c r="C222" i="5"/>
  <c r="E222" i="5" s="1"/>
  <c r="AA128" i="5"/>
  <c r="P222" i="5"/>
  <c r="G222" i="5"/>
  <c r="R454" i="5" s="1"/>
  <c r="F128" i="5"/>
  <c r="AA127" i="5"/>
  <c r="P221" i="5"/>
  <c r="P220" i="5"/>
  <c r="AA126" i="5"/>
  <c r="T129" i="5"/>
  <c r="M223" i="5"/>
  <c r="G224" i="5"/>
  <c r="F130" i="5"/>
  <c r="T155" i="5"/>
  <c r="Y217" i="5"/>
  <c r="F123" i="5"/>
  <c r="G217" i="5"/>
  <c r="C221" i="5"/>
  <c r="E221" i="5" s="1"/>
  <c r="E206" i="5"/>
  <c r="AB179" i="5"/>
  <c r="X162" i="5"/>
  <c r="AA179" i="5" s="1"/>
  <c r="M178" i="5"/>
  <c r="Q129" i="5"/>
  <c r="L178" i="5" s="1"/>
  <c r="C122" i="5"/>
  <c r="F171" i="5" s="1"/>
  <c r="G171" i="5"/>
  <c r="AB174" i="5"/>
  <c r="X157" i="5"/>
  <c r="AA174" i="5" s="1"/>
  <c r="J171" i="5"/>
  <c r="J122" i="5"/>
  <c r="I171" i="5" s="1"/>
  <c r="Q132" i="5"/>
  <c r="L181" i="5" s="1"/>
  <c r="M181" i="5"/>
  <c r="J161" i="5"/>
  <c r="U178" i="5" s="1"/>
  <c r="V178" i="5"/>
  <c r="J181" i="5"/>
  <c r="K181" i="5" s="1"/>
  <c r="J132" i="5"/>
  <c r="I181" i="5" s="1"/>
  <c r="C161" i="5"/>
  <c r="R178" i="5" s="1"/>
  <c r="S178" i="5"/>
  <c r="F194" i="5"/>
  <c r="H194" i="5" s="1"/>
  <c r="O194" i="5"/>
  <c r="Q194" i="5" s="1"/>
  <c r="L194" i="5"/>
  <c r="X194" i="5"/>
  <c r="Z194" i="5" s="1"/>
  <c r="AA194" i="5"/>
  <c r="AC194" i="5" s="1"/>
  <c r="I194" i="5"/>
  <c r="R194" i="5"/>
  <c r="T194" i="5" s="1"/>
  <c r="U194" i="5"/>
  <c r="W194" i="5" s="1"/>
  <c r="H191" i="5"/>
  <c r="P453" i="5"/>
  <c r="Y206" i="5"/>
  <c r="S159" i="5"/>
  <c r="E155" i="5"/>
  <c r="S202" i="5"/>
  <c r="L157" i="5"/>
  <c r="V204" i="5"/>
  <c r="Y204" i="5"/>
  <c r="S157" i="5"/>
  <c r="S201" i="5"/>
  <c r="E154" i="5"/>
  <c r="Z125" i="5"/>
  <c r="P204" i="5"/>
  <c r="J202" i="5"/>
  <c r="L123" i="5"/>
  <c r="V202" i="5"/>
  <c r="L155" i="5"/>
  <c r="S204" i="5"/>
  <c r="E157" i="5"/>
  <c r="S210" i="5"/>
  <c r="E163" i="5"/>
  <c r="S126" i="5"/>
  <c r="M205" i="5"/>
  <c r="L128" i="5"/>
  <c r="J207" i="5"/>
  <c r="Z162" i="5"/>
  <c r="AB209" i="5"/>
  <c r="Y202" i="5"/>
  <c r="S155" i="5"/>
  <c r="S130" i="5"/>
  <c r="M209" i="5"/>
  <c r="Y207" i="5"/>
  <c r="S160" i="5"/>
  <c r="E129" i="5"/>
  <c r="G208" i="5"/>
  <c r="V205" i="5"/>
  <c r="L158" i="5"/>
  <c r="L129" i="5"/>
  <c r="J208" i="5"/>
  <c r="S207" i="5"/>
  <c r="E160" i="5"/>
  <c r="Z157" i="5"/>
  <c r="AB204" i="5"/>
  <c r="AB205" i="5"/>
  <c r="Z158" i="5"/>
  <c r="C217" i="5"/>
  <c r="E217" i="5" s="1"/>
  <c r="E202" i="5"/>
  <c r="S220" i="5"/>
  <c r="F158" i="5"/>
  <c r="AB224" i="5"/>
  <c r="AA162" i="5"/>
  <c r="S217" i="5"/>
  <c r="F155" i="5"/>
  <c r="AA154" i="5"/>
  <c r="AB216" i="5"/>
  <c r="P217" i="5"/>
  <c r="AA123" i="5"/>
  <c r="AA129" i="5"/>
  <c r="P223" i="5"/>
  <c r="M128" i="5"/>
  <c r="J222" i="5"/>
  <c r="S225" i="5"/>
  <c r="F163" i="5"/>
  <c r="V222" i="5"/>
  <c r="M160" i="5"/>
  <c r="AA161" i="5"/>
  <c r="AB223" i="5"/>
  <c r="Y222" i="5"/>
  <c r="T160" i="5"/>
  <c r="G225" i="5"/>
  <c r="F131" i="5"/>
  <c r="F161" i="5"/>
  <c r="S223" i="5"/>
  <c r="J219" i="5"/>
  <c r="M125" i="5"/>
  <c r="T158" i="5"/>
  <c r="Y220" i="5"/>
  <c r="G216" i="5"/>
  <c r="F122" i="5"/>
  <c r="AA156" i="5"/>
  <c r="AB218" i="5"/>
  <c r="T157" i="5"/>
  <c r="Y219" i="5"/>
  <c r="P216" i="5"/>
  <c r="AA122" i="5"/>
  <c r="T128" i="5"/>
  <c r="M222" i="5"/>
  <c r="M124" i="5"/>
  <c r="J218" i="5"/>
  <c r="V223" i="5"/>
  <c r="M161" i="5"/>
  <c r="C223" i="5"/>
  <c r="E223" i="5" s="1"/>
  <c r="E208" i="5"/>
  <c r="J174" i="5"/>
  <c r="J125" i="5"/>
  <c r="I174" i="5" s="1"/>
  <c r="C124" i="5"/>
  <c r="F173" i="5" s="1"/>
  <c r="G173" i="5"/>
  <c r="Q127" i="5"/>
  <c r="L176" i="5" s="1"/>
  <c r="M176" i="5"/>
  <c r="P176" i="5"/>
  <c r="X127" i="5"/>
  <c r="O176" i="5" s="1"/>
  <c r="X154" i="5"/>
  <c r="AA171" i="5" s="1"/>
  <c r="AB171" i="5"/>
  <c r="P178" i="5"/>
  <c r="X129" i="5"/>
  <c r="O178" i="5" s="1"/>
  <c r="J124" i="5"/>
  <c r="I173" i="5" s="1"/>
  <c r="J173" i="5"/>
  <c r="J131" i="5"/>
  <c r="I180" i="5" s="1"/>
  <c r="J180" i="5"/>
  <c r="K180" i="5" s="1"/>
  <c r="AB175" i="5"/>
  <c r="AC175" i="5" s="1"/>
  <c r="X158" i="5"/>
  <c r="AA175" i="5" s="1"/>
  <c r="G177" i="5"/>
  <c r="C128" i="5"/>
  <c r="F177" i="5" s="1"/>
  <c r="C156" i="5"/>
  <c r="R173" i="5" s="1"/>
  <c r="S173" i="5"/>
  <c r="Q159" i="5"/>
  <c r="X176" i="5" s="1"/>
  <c r="Y176" i="5"/>
  <c r="Z176" i="5" s="1"/>
  <c r="Q162" i="5"/>
  <c r="X179" i="5" s="1"/>
  <c r="Y179" i="5"/>
  <c r="V180" i="5"/>
  <c r="J163" i="5"/>
  <c r="U180" i="5" s="1"/>
  <c r="P181" i="5"/>
  <c r="Q181" i="5" s="1"/>
  <c r="X132" i="5"/>
  <c r="O181" i="5" s="1"/>
  <c r="C163" i="5"/>
  <c r="R180" i="5" s="1"/>
  <c r="S180" i="5"/>
  <c r="T180" i="5" s="1"/>
  <c r="X131" i="5"/>
  <c r="O180" i="5" s="1"/>
  <c r="P180" i="5"/>
  <c r="S177" i="5"/>
  <c r="C160" i="5"/>
  <c r="R177" i="5" s="1"/>
  <c r="J178" i="5"/>
  <c r="K178" i="5" s="1"/>
  <c r="J129" i="5"/>
  <c r="I178" i="5" s="1"/>
  <c r="C158" i="5"/>
  <c r="R175" i="5" s="1"/>
  <c r="S175" i="5"/>
  <c r="T175" i="5" s="1"/>
  <c r="P174" i="5"/>
  <c r="Q174" i="5" s="1"/>
  <c r="X125" i="5"/>
  <c r="O174" i="5" s="1"/>
  <c r="S179" i="5"/>
  <c r="C162" i="5"/>
  <c r="R179" i="5" s="1"/>
  <c r="E210" i="5"/>
  <c r="C225" i="5"/>
  <c r="E225" i="5" s="1"/>
  <c r="I196" i="5"/>
  <c r="K196" i="5" s="1"/>
  <c r="F196" i="5"/>
  <c r="H196" i="5" s="1"/>
  <c r="AA196" i="5"/>
  <c r="AC196" i="5" s="1"/>
  <c r="L196" i="5"/>
  <c r="N196" i="5" s="1"/>
  <c r="X196" i="5"/>
  <c r="Z196" i="5" s="1"/>
  <c r="U196" i="5"/>
  <c r="W196" i="5" s="1"/>
  <c r="O196" i="5"/>
  <c r="Q196" i="5" s="1"/>
  <c r="R196" i="5"/>
  <c r="T196" i="5" s="1"/>
  <c r="S127" i="5"/>
  <c r="M206" i="5"/>
  <c r="S128" i="5"/>
  <c r="M207" i="5"/>
  <c r="V210" i="5"/>
  <c r="L163" i="5"/>
  <c r="L156" i="5"/>
  <c r="V203" i="5"/>
  <c r="S206" i="5"/>
  <c r="E159" i="5"/>
  <c r="Z128" i="5"/>
  <c r="P207" i="5"/>
  <c r="Y203" i="5"/>
  <c r="S156" i="5"/>
  <c r="E158" i="5"/>
  <c r="S205" i="5"/>
  <c r="E127" i="5"/>
  <c r="G206" i="5"/>
  <c r="Q453" i="5" s="1"/>
  <c r="Z160" i="5"/>
  <c r="AB207" i="5"/>
  <c r="R189" i="5"/>
  <c r="T189" i="5" s="1"/>
  <c r="O189" i="5"/>
  <c r="Q189" i="5" s="1"/>
  <c r="I189" i="5"/>
  <c r="K189" i="5" s="1"/>
  <c r="L189" i="5"/>
  <c r="F189" i="5"/>
  <c r="H189" i="5" s="1"/>
  <c r="U189" i="5"/>
  <c r="W189" i="5" s="1"/>
  <c r="X189" i="5"/>
  <c r="Z189" i="5" s="1"/>
  <c r="AA189" i="5"/>
  <c r="AC189" i="5" s="1"/>
  <c r="X190" i="5"/>
  <c r="Z190" i="5" s="1"/>
  <c r="AA190" i="5"/>
  <c r="AC190" i="5" s="1"/>
  <c r="R190" i="5"/>
  <c r="T190" i="5" s="1"/>
  <c r="O190" i="5"/>
  <c r="Q190" i="5" s="1"/>
  <c r="U190" i="5"/>
  <c r="W190" i="5" s="1"/>
  <c r="L190" i="5"/>
  <c r="F190" i="5"/>
  <c r="H190" i="5" s="1"/>
  <c r="I190" i="5"/>
  <c r="K190" i="5" s="1"/>
  <c r="X188" i="5"/>
  <c r="Z188" i="5" s="1"/>
  <c r="F188" i="5"/>
  <c r="H188" i="5" s="1"/>
  <c r="U188" i="5"/>
  <c r="W188" i="5" s="1"/>
  <c r="R188" i="5"/>
  <c r="T188" i="5" s="1"/>
  <c r="L188" i="5"/>
  <c r="AA188" i="5"/>
  <c r="AC188" i="5" s="1"/>
  <c r="O188" i="5"/>
  <c r="Q188" i="5" s="1"/>
  <c r="I188" i="5"/>
  <c r="K188" i="5" s="1"/>
  <c r="S224" i="5"/>
  <c r="F162" i="5"/>
  <c r="F156" i="5"/>
  <c r="S218" i="5"/>
  <c r="F157" i="5"/>
  <c r="S219" i="5"/>
  <c r="J220" i="5"/>
  <c r="M126" i="5"/>
  <c r="M218" i="5"/>
  <c r="T124" i="5"/>
  <c r="G226" i="5"/>
  <c r="F132" i="5"/>
  <c r="M162" i="5"/>
  <c r="V224" i="5"/>
  <c r="F154" i="5"/>
  <c r="S216" i="5"/>
  <c r="J216" i="5"/>
  <c r="M122" i="5"/>
  <c r="G174" i="5"/>
  <c r="C125" i="5"/>
  <c r="F174" i="5" s="1"/>
  <c r="C127" i="5"/>
  <c r="F176" i="5" s="1"/>
  <c r="G176" i="5"/>
  <c r="Y178" i="5"/>
  <c r="Q161" i="5"/>
  <c r="X178" i="5" s="1"/>
  <c r="M180" i="5"/>
  <c r="Q131" i="5"/>
  <c r="L180" i="5" s="1"/>
  <c r="J154" i="5"/>
  <c r="U171" i="5" s="1"/>
  <c r="V171" i="5"/>
  <c r="X156" i="5"/>
  <c r="AA173" i="5" s="1"/>
  <c r="AB173" i="5"/>
  <c r="Q126" i="5"/>
  <c r="L175" i="5" s="1"/>
  <c r="M175" i="5"/>
  <c r="V174" i="5"/>
  <c r="J157" i="5"/>
  <c r="U174" i="5" s="1"/>
  <c r="J155" i="5"/>
  <c r="U172" i="5" s="1"/>
  <c r="V172" i="5"/>
  <c r="Q156" i="5"/>
  <c r="X173" i="5" s="1"/>
  <c r="Y173" i="5"/>
  <c r="C226" i="5"/>
  <c r="E226" i="5" s="1"/>
  <c r="E211" i="5"/>
  <c r="P205" i="5"/>
  <c r="Z126" i="5"/>
  <c r="J205" i="5"/>
  <c r="L126" i="5"/>
  <c r="AB211" i="5"/>
  <c r="Z164" i="5"/>
  <c r="Y208" i="5"/>
  <c r="S161" i="5"/>
  <c r="Z130" i="5"/>
  <c r="P209" i="5"/>
  <c r="Z154" i="5"/>
  <c r="AB201" i="5"/>
  <c r="S163" i="5"/>
  <c r="Y210" i="5"/>
  <c r="L159" i="5"/>
  <c r="V206" i="5"/>
  <c r="G207" i="5"/>
  <c r="Q454" i="5" s="1"/>
  <c r="E128" i="5"/>
  <c r="M211" i="5"/>
  <c r="S132" i="5"/>
  <c r="Z129" i="5"/>
  <c r="P208" i="5"/>
  <c r="G210" i="5"/>
  <c r="E131" i="5"/>
  <c r="G202" i="5"/>
  <c r="E123" i="5"/>
  <c r="Z124" i="5"/>
  <c r="P203" i="5"/>
  <c r="L161" i="5"/>
  <c r="V208" i="5"/>
  <c r="P202" i="5"/>
  <c r="Z123" i="5"/>
  <c r="Z131" i="5"/>
  <c r="P210" i="5"/>
  <c r="L125" i="5"/>
  <c r="J204" i="5"/>
  <c r="G205" i="5"/>
  <c r="Q452" i="5" s="1"/>
  <c r="E126" i="5"/>
  <c r="L131" i="5"/>
  <c r="J210" i="5"/>
  <c r="Z159" i="5"/>
  <c r="AB206" i="5"/>
  <c r="AB210" i="5"/>
  <c r="Z163" i="5"/>
  <c r="AA187" i="5"/>
  <c r="AC187" i="5" s="1"/>
  <c r="I187" i="5"/>
  <c r="K187" i="5" s="1"/>
  <c r="F187" i="5"/>
  <c r="R187" i="5"/>
  <c r="T187" i="5" s="1"/>
  <c r="L187" i="5"/>
  <c r="N187" i="5" s="1"/>
  <c r="O187" i="5"/>
  <c r="Q187" i="5" s="1"/>
  <c r="X187" i="5"/>
  <c r="Z187" i="5" s="1"/>
  <c r="U187" i="5"/>
  <c r="W187" i="5" s="1"/>
  <c r="C216" i="5"/>
  <c r="E216" i="5" s="1"/>
  <c r="E201" i="5"/>
  <c r="M15" i="2"/>
  <c r="K194" i="5"/>
  <c r="F192" i="5"/>
  <c r="H192" i="5" s="1"/>
  <c r="I192" i="5"/>
  <c r="K192" i="5" s="1"/>
  <c r="O192" i="5"/>
  <c r="Q192" i="5" s="1"/>
  <c r="U192" i="5"/>
  <c r="W192" i="5" s="1"/>
  <c r="AA192" i="5"/>
  <c r="AC192" i="5" s="1"/>
  <c r="R192" i="5"/>
  <c r="T192" i="5" s="1"/>
  <c r="L192" i="5"/>
  <c r="X192" i="5"/>
  <c r="Z192" i="5" s="1"/>
  <c r="J224" i="5"/>
  <c r="M130" i="5"/>
  <c r="AA159" i="5"/>
  <c r="AB221" i="5"/>
  <c r="M217" i="5"/>
  <c r="T123" i="5"/>
  <c r="P218" i="5"/>
  <c r="AA124" i="5"/>
  <c r="T130" i="5"/>
  <c r="M224" i="5"/>
  <c r="Y218" i="5"/>
  <c r="T156" i="5"/>
  <c r="Y225" i="5"/>
  <c r="T163" i="5"/>
  <c r="M157" i="5"/>
  <c r="V219" i="5"/>
  <c r="T126" i="5"/>
  <c r="M220" i="5"/>
  <c r="AA130" i="5"/>
  <c r="P224" i="5"/>
  <c r="AA131" i="5"/>
  <c r="P225" i="5"/>
  <c r="T125" i="5"/>
  <c r="M219" i="5"/>
  <c r="M164" i="5"/>
  <c r="V226" i="5"/>
  <c r="M156" i="5"/>
  <c r="V218" i="5"/>
  <c r="P219" i="5"/>
  <c r="AA125" i="5"/>
  <c r="M127" i="5"/>
  <c r="J221" i="5"/>
  <c r="AA157" i="5"/>
  <c r="AB219" i="5"/>
  <c r="AA132" i="5"/>
  <c r="P226" i="5"/>
  <c r="J223" i="5"/>
  <c r="M129" i="5"/>
  <c r="S226" i="5"/>
  <c r="F164" i="5"/>
  <c r="M132" i="5"/>
  <c r="J226" i="5"/>
  <c r="G223" i="5"/>
  <c r="R455" i="5" s="1"/>
  <c r="F129" i="5"/>
  <c r="R193" i="5"/>
  <c r="T193" i="5" s="1"/>
  <c r="I193" i="5"/>
  <c r="K193" i="5" s="1"/>
  <c r="X193" i="5"/>
  <c r="Z193" i="5" s="1"/>
  <c r="O193" i="5"/>
  <c r="Q193" i="5" s="1"/>
  <c r="F193" i="5"/>
  <c r="H193" i="5" s="1"/>
  <c r="AA193" i="5"/>
  <c r="AC193" i="5" s="1"/>
  <c r="L193" i="5"/>
  <c r="U193" i="5"/>
  <c r="W193" i="5" s="1"/>
  <c r="H187" i="5"/>
  <c r="Q122" i="5"/>
  <c r="L171" i="5" s="1"/>
  <c r="M171" i="5"/>
  <c r="Y175" i="5"/>
  <c r="Q158" i="5"/>
  <c r="X175" i="5" s="1"/>
  <c r="J158" i="5"/>
  <c r="U175" i="5" s="1"/>
  <c r="V175" i="5"/>
  <c r="J162" i="5"/>
  <c r="U179" i="5" s="1"/>
  <c r="V179" i="5"/>
  <c r="C123" i="5"/>
  <c r="F172" i="5" s="1"/>
  <c r="G172" i="5"/>
  <c r="P179" i="5"/>
  <c r="X130" i="5"/>
  <c r="O179" i="5" s="1"/>
  <c r="M179" i="5"/>
  <c r="Q130" i="5"/>
  <c r="L179" i="5" s="1"/>
  <c r="C164" i="5"/>
  <c r="R181" i="5" s="1"/>
  <c r="S181" i="5"/>
  <c r="T181" i="5" s="1"/>
  <c r="X126" i="5"/>
  <c r="O175" i="5" s="1"/>
  <c r="P175" i="5"/>
  <c r="X155" i="5"/>
  <c r="AA172" i="5" s="1"/>
  <c r="AB172" i="5"/>
  <c r="AC172" i="5" s="1"/>
  <c r="G175" i="5"/>
  <c r="C126" i="5"/>
  <c r="F175" i="5" s="1"/>
  <c r="G178" i="5"/>
  <c r="C129" i="5"/>
  <c r="F178" i="5" s="1"/>
  <c r="Y172" i="5"/>
  <c r="Q155" i="5"/>
  <c r="X172" i="5" s="1"/>
  <c r="V176" i="5"/>
  <c r="J159" i="5"/>
  <c r="U176" i="5" s="1"/>
  <c r="J179" i="5"/>
  <c r="J130" i="5"/>
  <c r="I179" i="5" s="1"/>
  <c r="J123" i="5"/>
  <c r="I172" i="5" s="1"/>
  <c r="J172" i="5"/>
  <c r="K172" i="5" s="1"/>
  <c r="AB176" i="5"/>
  <c r="X159" i="5"/>
  <c r="AA176" i="5" s="1"/>
  <c r="J177" i="5"/>
  <c r="J128" i="5"/>
  <c r="I177" i="5" s="1"/>
  <c r="G181" i="5"/>
  <c r="C132" i="5"/>
  <c r="F181" i="5" s="1"/>
  <c r="S174" i="5"/>
  <c r="C157" i="5"/>
  <c r="R174" i="5" s="1"/>
  <c r="X163" i="5"/>
  <c r="AA180" i="5" s="1"/>
  <c r="AB180" i="5"/>
  <c r="M174" i="5"/>
  <c r="Q125" i="5"/>
  <c r="L174" i="5" s="1"/>
  <c r="X195" i="5"/>
  <c r="Z195" i="5" s="1"/>
  <c r="I195" i="5"/>
  <c r="K195" i="5" s="1"/>
  <c r="F195" i="5"/>
  <c r="H195" i="5" s="1"/>
  <c r="O195" i="5"/>
  <c r="Q195" i="5" s="1"/>
  <c r="AA195" i="5"/>
  <c r="AC195" i="5" s="1"/>
  <c r="L195" i="5"/>
  <c r="N195" i="5" s="1"/>
  <c r="R195" i="5"/>
  <c r="T195" i="5" s="1"/>
  <c r="U195" i="5"/>
  <c r="W195" i="5" s="1"/>
  <c r="AC174" i="5" l="1"/>
  <c r="T172" i="5"/>
  <c r="AC180" i="5"/>
  <c r="Q175" i="5"/>
  <c r="H172" i="5"/>
  <c r="W175" i="5"/>
  <c r="T178" i="5"/>
  <c r="W178" i="5"/>
  <c r="H171" i="5"/>
  <c r="Z174" i="5"/>
  <c r="N171" i="5"/>
  <c r="Z178" i="5"/>
  <c r="Z173" i="5"/>
  <c r="AC173" i="5"/>
  <c r="N180" i="5"/>
  <c r="AC177" i="5"/>
  <c r="K175" i="5"/>
  <c r="AC178" i="5"/>
  <c r="AC181" i="5"/>
  <c r="N172" i="5"/>
  <c r="W179" i="5"/>
  <c r="O210" i="5"/>
  <c r="Q210" i="5" s="1"/>
  <c r="R210" i="5"/>
  <c r="T210" i="5" s="1"/>
  <c r="X210" i="5"/>
  <c r="Z210" i="5" s="1"/>
  <c r="L210" i="5"/>
  <c r="N210" i="5" s="1"/>
  <c r="I210" i="5"/>
  <c r="K210" i="5" s="1"/>
  <c r="AA210" i="5"/>
  <c r="AC210" i="5" s="1"/>
  <c r="U210" i="5"/>
  <c r="W210" i="5" s="1"/>
  <c r="F210" i="5"/>
  <c r="H210" i="5" s="1"/>
  <c r="K39" i="3"/>
  <c r="T174" i="5"/>
  <c r="O455" i="5"/>
  <c r="H178" i="5"/>
  <c r="U216" i="5"/>
  <c r="W216" i="5" s="1"/>
  <c r="AA216" i="5"/>
  <c r="AC216" i="5" s="1"/>
  <c r="O216" i="5"/>
  <c r="Q216" i="5" s="1"/>
  <c r="R216" i="5"/>
  <c r="T216" i="5" s="1"/>
  <c r="F216" i="5"/>
  <c r="H216" i="5" s="1"/>
  <c r="L216" i="5"/>
  <c r="N216" i="5" s="1"/>
  <c r="X216" i="5"/>
  <c r="Z216" i="5" s="1"/>
  <c r="I216" i="5"/>
  <c r="K216" i="5" s="1"/>
  <c r="O453" i="5"/>
  <c r="H176" i="5"/>
  <c r="H173" i="5"/>
  <c r="O450" i="5"/>
  <c r="L202" i="5"/>
  <c r="N202" i="5" s="1"/>
  <c r="I202" i="5"/>
  <c r="O202" i="5"/>
  <c r="Q202" i="5" s="1"/>
  <c r="AA202" i="5"/>
  <c r="AC202" i="5" s="1"/>
  <c r="X202" i="5"/>
  <c r="Z202" i="5" s="1"/>
  <c r="F202" i="5"/>
  <c r="H202" i="5" s="1"/>
  <c r="U202" i="5"/>
  <c r="W202" i="5" s="1"/>
  <c r="R202" i="5"/>
  <c r="T202" i="5" s="1"/>
  <c r="Q455" i="5"/>
  <c r="N190" i="5"/>
  <c r="N194" i="5"/>
  <c r="K171" i="5"/>
  <c r="AC179" i="5"/>
  <c r="X222" i="5"/>
  <c r="Z222" i="5" s="1"/>
  <c r="I222" i="5"/>
  <c r="K222" i="5" s="1"/>
  <c r="AA222" i="5"/>
  <c r="AC222" i="5" s="1"/>
  <c r="R222" i="5"/>
  <c r="T222" i="5" s="1"/>
  <c r="L222" i="5"/>
  <c r="F222" i="5"/>
  <c r="H222" i="5" s="1"/>
  <c r="U222" i="5"/>
  <c r="W222" i="5" s="1"/>
  <c r="O222" i="5"/>
  <c r="Q222" i="5" s="1"/>
  <c r="Q177" i="5"/>
  <c r="T176" i="5"/>
  <c r="W177" i="5"/>
  <c r="W173" i="5"/>
  <c r="Z180" i="5"/>
  <c r="U220" i="5"/>
  <c r="W220" i="5" s="1"/>
  <c r="X220" i="5"/>
  <c r="Z220" i="5" s="1"/>
  <c r="L220" i="5"/>
  <c r="AA220" i="5"/>
  <c r="AC220" i="5" s="1"/>
  <c r="I220" i="5"/>
  <c r="K220" i="5" s="1"/>
  <c r="O220" i="5"/>
  <c r="Q220" i="5" s="1"/>
  <c r="R220" i="5"/>
  <c r="T220" i="5" s="1"/>
  <c r="F220" i="5"/>
  <c r="H220" i="5" s="1"/>
  <c r="N191" i="5"/>
  <c r="D267" i="5"/>
  <c r="D10" i="6"/>
  <c r="D36" i="6" s="1"/>
  <c r="O39" i="3"/>
  <c r="O201" i="5"/>
  <c r="Q201" i="5" s="1"/>
  <c r="AA201" i="5"/>
  <c r="AC201" i="5" s="1"/>
  <c r="X201" i="5"/>
  <c r="Z201" i="5" s="1"/>
  <c r="L201" i="5"/>
  <c r="N201" i="5" s="1"/>
  <c r="R201" i="5"/>
  <c r="T201" i="5" s="1"/>
  <c r="I201" i="5"/>
  <c r="K201" i="5" s="1"/>
  <c r="F201" i="5"/>
  <c r="U201" i="5"/>
  <c r="W201" i="5" s="1"/>
  <c r="I221" i="5"/>
  <c r="K221" i="5" s="1"/>
  <c r="O221" i="5"/>
  <c r="Q221" i="5" s="1"/>
  <c r="AA221" i="5"/>
  <c r="AC221" i="5" s="1"/>
  <c r="X221" i="5"/>
  <c r="Z221" i="5" s="1"/>
  <c r="F221" i="5"/>
  <c r="H221" i="5" s="1"/>
  <c r="R221" i="5"/>
  <c r="T221" i="5" s="1"/>
  <c r="L221" i="5"/>
  <c r="U221" i="5"/>
  <c r="W221" i="5" s="1"/>
  <c r="N177" i="5"/>
  <c r="O205" i="5"/>
  <c r="Q205" i="5" s="1"/>
  <c r="F205" i="5"/>
  <c r="H205" i="5" s="1"/>
  <c r="R205" i="5"/>
  <c r="T205" i="5" s="1"/>
  <c r="AA205" i="5"/>
  <c r="AC205" i="5" s="1"/>
  <c r="L205" i="5"/>
  <c r="I205" i="5"/>
  <c r="K205" i="5" s="1"/>
  <c r="X205" i="5"/>
  <c r="Z205" i="5" s="1"/>
  <c r="U205" i="5"/>
  <c r="W205" i="5" s="1"/>
  <c r="Q450" i="5"/>
  <c r="N39" i="3"/>
  <c r="N174" i="5"/>
  <c r="K177" i="5"/>
  <c r="X211" i="5"/>
  <c r="Z211" i="5" s="1"/>
  <c r="AA211" i="5"/>
  <c r="AC211" i="5" s="1"/>
  <c r="O211" i="5"/>
  <c r="Q211" i="5" s="1"/>
  <c r="R211" i="5"/>
  <c r="T211" i="5" s="1"/>
  <c r="F211" i="5"/>
  <c r="H211" i="5" s="1"/>
  <c r="L211" i="5"/>
  <c r="N211" i="5" s="1"/>
  <c r="I211" i="5"/>
  <c r="K211" i="5" s="1"/>
  <c r="U211" i="5"/>
  <c r="W211" i="5" s="1"/>
  <c r="W174" i="5"/>
  <c r="N189" i="5"/>
  <c r="T179" i="5"/>
  <c r="T177" i="5"/>
  <c r="W180" i="5"/>
  <c r="H177" i="5"/>
  <c r="O454" i="5"/>
  <c r="Q178" i="5"/>
  <c r="Q176" i="5"/>
  <c r="L208" i="5"/>
  <c r="I208" i="5"/>
  <c r="K208" i="5" s="1"/>
  <c r="U208" i="5"/>
  <c r="W208" i="5" s="1"/>
  <c r="F208" i="5"/>
  <c r="H208" i="5" s="1"/>
  <c r="R208" i="5"/>
  <c r="T208" i="5" s="1"/>
  <c r="X208" i="5"/>
  <c r="Z208" i="5" s="1"/>
  <c r="O208" i="5"/>
  <c r="Q208" i="5" s="1"/>
  <c r="AA208" i="5"/>
  <c r="AC208" i="5" s="1"/>
  <c r="AA217" i="5"/>
  <c r="AC217" i="5" s="1"/>
  <c r="L217" i="5"/>
  <c r="N217" i="5" s="1"/>
  <c r="F217" i="5"/>
  <c r="H217" i="5" s="1"/>
  <c r="X217" i="5"/>
  <c r="Z217" i="5" s="1"/>
  <c r="R217" i="5"/>
  <c r="T217" i="5" s="1"/>
  <c r="O217" i="5"/>
  <c r="Q217" i="5" s="1"/>
  <c r="U217" i="5"/>
  <c r="W217" i="5" s="1"/>
  <c r="I217" i="5"/>
  <c r="K217" i="5" s="1"/>
  <c r="K202" i="5"/>
  <c r="N181" i="5"/>
  <c r="X207" i="5"/>
  <c r="Z207" i="5" s="1"/>
  <c r="I207" i="5"/>
  <c r="K207" i="5" s="1"/>
  <c r="U207" i="5"/>
  <c r="W207" i="5" s="1"/>
  <c r="F207" i="5"/>
  <c r="H207" i="5" s="1"/>
  <c r="O207" i="5"/>
  <c r="Q207" i="5" s="1"/>
  <c r="L207" i="5"/>
  <c r="R207" i="5"/>
  <c r="T207" i="5" s="1"/>
  <c r="AA207" i="5"/>
  <c r="AC207" i="5" s="1"/>
  <c r="Q173" i="5"/>
  <c r="Q172" i="5"/>
  <c r="Q171" i="5"/>
  <c r="H180" i="5"/>
  <c r="Z171" i="5"/>
  <c r="K176" i="5"/>
  <c r="W181" i="5"/>
  <c r="T171" i="5"/>
  <c r="Z177" i="5"/>
  <c r="N173" i="5"/>
  <c r="D244" i="5"/>
  <c r="H179" i="5"/>
  <c r="H39" i="3"/>
  <c r="D233" i="5"/>
  <c r="I209" i="5"/>
  <c r="K209" i="5" s="1"/>
  <c r="O209" i="5"/>
  <c r="Q209" i="5" s="1"/>
  <c r="R209" i="5"/>
  <c r="T209" i="5" s="1"/>
  <c r="L209" i="5"/>
  <c r="AA209" i="5"/>
  <c r="AC209" i="5" s="1"/>
  <c r="X209" i="5"/>
  <c r="Z209" i="5" s="1"/>
  <c r="U209" i="5"/>
  <c r="W209" i="5" s="1"/>
  <c r="F209" i="5"/>
  <c r="H209" i="5" s="1"/>
  <c r="H174" i="5"/>
  <c r="O451" i="5"/>
  <c r="N188" i="5"/>
  <c r="F203" i="5"/>
  <c r="H203" i="5" s="1"/>
  <c r="I203" i="5"/>
  <c r="K203" i="5" s="1"/>
  <c r="R203" i="5"/>
  <c r="T203" i="5" s="1"/>
  <c r="AA203" i="5"/>
  <c r="AC203" i="5" s="1"/>
  <c r="L203" i="5"/>
  <c r="O203" i="5"/>
  <c r="Q203" i="5" s="1"/>
  <c r="U203" i="5"/>
  <c r="W203" i="5" s="1"/>
  <c r="X203" i="5"/>
  <c r="Z203" i="5" s="1"/>
  <c r="I204" i="5"/>
  <c r="K204" i="5" s="1"/>
  <c r="F204" i="5"/>
  <c r="H204" i="5" s="1"/>
  <c r="O204" i="5"/>
  <c r="Q204" i="5" s="1"/>
  <c r="AA204" i="5"/>
  <c r="AC204" i="5" s="1"/>
  <c r="L204" i="5"/>
  <c r="U204" i="5"/>
  <c r="W204" i="5" s="1"/>
  <c r="X204" i="5"/>
  <c r="Z204" i="5" s="1"/>
  <c r="R204" i="5"/>
  <c r="T204" i="5" s="1"/>
  <c r="W176" i="5"/>
  <c r="Q179" i="5"/>
  <c r="Z175" i="5"/>
  <c r="N222" i="5"/>
  <c r="H181" i="5"/>
  <c r="AC176" i="5"/>
  <c r="K179" i="5"/>
  <c r="D261" i="5"/>
  <c r="Z172" i="5"/>
  <c r="H175" i="5"/>
  <c r="O452" i="5"/>
  <c r="D278" i="5"/>
  <c r="N179" i="5"/>
  <c r="N193" i="5"/>
  <c r="N192" i="5"/>
  <c r="F226" i="5"/>
  <c r="H226" i="5" s="1"/>
  <c r="U226" i="5"/>
  <c r="W226" i="5" s="1"/>
  <c r="X226" i="5"/>
  <c r="Z226" i="5" s="1"/>
  <c r="AA226" i="5"/>
  <c r="AC226" i="5" s="1"/>
  <c r="L226" i="5"/>
  <c r="N226" i="5" s="1"/>
  <c r="R226" i="5"/>
  <c r="T226" i="5" s="1"/>
  <c r="I226" i="5"/>
  <c r="K226" i="5" s="1"/>
  <c r="O226" i="5"/>
  <c r="Q226" i="5" s="1"/>
  <c r="W172" i="5"/>
  <c r="N175" i="5"/>
  <c r="W171" i="5"/>
  <c r="X225" i="5"/>
  <c r="Z225" i="5" s="1"/>
  <c r="AA225" i="5"/>
  <c r="AC225" i="5" s="1"/>
  <c r="U225" i="5"/>
  <c r="W225" i="5" s="1"/>
  <c r="R225" i="5"/>
  <c r="T225" i="5" s="1"/>
  <c r="L225" i="5"/>
  <c r="N225" i="5" s="1"/>
  <c r="O225" i="5"/>
  <c r="Q225" i="5" s="1"/>
  <c r="I225" i="5"/>
  <c r="K225" i="5" s="1"/>
  <c r="F225" i="5"/>
  <c r="H225" i="5" s="1"/>
  <c r="Q180" i="5"/>
  <c r="Z179" i="5"/>
  <c r="T173" i="5"/>
  <c r="K173" i="5"/>
  <c r="AC171" i="5"/>
  <c r="N176" i="5"/>
  <c r="K174" i="5"/>
  <c r="AA223" i="5"/>
  <c r="AC223" i="5" s="1"/>
  <c r="X223" i="5"/>
  <c r="Z223" i="5" s="1"/>
  <c r="R223" i="5"/>
  <c r="T223" i="5" s="1"/>
  <c r="O223" i="5"/>
  <c r="Q223" i="5" s="1"/>
  <c r="L223" i="5"/>
  <c r="U223" i="5"/>
  <c r="W223" i="5" s="1"/>
  <c r="F223" i="5"/>
  <c r="H223" i="5" s="1"/>
  <c r="I223" i="5"/>
  <c r="K223" i="5" s="1"/>
  <c r="N178" i="5"/>
  <c r="R206" i="5"/>
  <c r="T206" i="5" s="1"/>
  <c r="O206" i="5"/>
  <c r="Q206" i="5" s="1"/>
  <c r="U206" i="5"/>
  <c r="W206" i="5" s="1"/>
  <c r="X206" i="5"/>
  <c r="Z206" i="5" s="1"/>
  <c r="AA206" i="5"/>
  <c r="AC206" i="5" s="1"/>
  <c r="I206" i="5"/>
  <c r="K206" i="5" s="1"/>
  <c r="L206" i="5"/>
  <c r="F206" i="5"/>
  <c r="H206" i="5" s="1"/>
  <c r="L218" i="5"/>
  <c r="R218" i="5"/>
  <c r="T218" i="5" s="1"/>
  <c r="F218" i="5"/>
  <c r="H218" i="5" s="1"/>
  <c r="O218" i="5"/>
  <c r="Q218" i="5" s="1"/>
  <c r="AA218" i="5"/>
  <c r="AC218" i="5" s="1"/>
  <c r="I218" i="5"/>
  <c r="K218" i="5" s="1"/>
  <c r="X218" i="5"/>
  <c r="Z218" i="5" s="1"/>
  <c r="U218" i="5"/>
  <c r="W218" i="5" s="1"/>
  <c r="R219" i="5"/>
  <c r="T219" i="5" s="1"/>
  <c r="O219" i="5"/>
  <c r="Q219" i="5" s="1"/>
  <c r="F219" i="5"/>
  <c r="H219" i="5" s="1"/>
  <c r="U219" i="5"/>
  <c r="W219" i="5" s="1"/>
  <c r="L219" i="5"/>
  <c r="I219" i="5"/>
  <c r="K219" i="5" s="1"/>
  <c r="X219" i="5"/>
  <c r="Z219" i="5" s="1"/>
  <c r="AA219" i="5"/>
  <c r="AC219" i="5" s="1"/>
  <c r="H201" i="5"/>
  <c r="M39" i="3"/>
  <c r="I39" i="3"/>
  <c r="D250" i="5"/>
  <c r="L39" i="3"/>
  <c r="X224" i="5"/>
  <c r="Z224" i="5" s="1"/>
  <c r="I224" i="5"/>
  <c r="K224" i="5" s="1"/>
  <c r="F224" i="5"/>
  <c r="H224" i="5" s="1"/>
  <c r="O224" i="5"/>
  <c r="Q224" i="5" s="1"/>
  <c r="R224" i="5"/>
  <c r="T224" i="5" s="1"/>
  <c r="AA224" i="5"/>
  <c r="AC224" i="5" s="1"/>
  <c r="L224" i="5"/>
  <c r="U224" i="5"/>
  <c r="W224" i="5" s="1"/>
  <c r="N219" i="5" l="1"/>
  <c r="N205" i="5"/>
  <c r="N223" i="5"/>
  <c r="C46" i="6"/>
  <c r="C47" i="6"/>
  <c r="N224" i="5"/>
  <c r="N221" i="5"/>
  <c r="N204" i="5"/>
  <c r="N203" i="5"/>
  <c r="N208" i="5"/>
  <c r="N206" i="5"/>
  <c r="N220" i="5"/>
  <c r="N218" i="5"/>
  <c r="N209" i="5"/>
  <c r="N207" i="5"/>
</calcChain>
</file>

<file path=xl/comments1.xml><?xml version="1.0" encoding="utf-8"?>
<comments xmlns="http://schemas.openxmlformats.org/spreadsheetml/2006/main">
  <authors>
    <author>Joshua Rosenthal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Joshua Rosenthal:</t>
        </r>
        <r>
          <rPr>
            <sz val="9"/>
            <color indexed="81"/>
            <rFont val="Tahoma"/>
            <family val="2"/>
          </rPr>
          <t xml:space="preserve">
As a percentage of luff length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Joshua Rosenthal:</t>
        </r>
        <r>
          <rPr>
            <sz val="9"/>
            <color indexed="81"/>
            <rFont val="Tahoma"/>
            <family val="2"/>
          </rPr>
          <t xml:space="preserve">
If unavailable: GM*disp*sin30*cos30</t>
        </r>
      </text>
    </comment>
    <comment ref="C37" authorId="0" shapeId="0">
      <text>
        <r>
          <rPr>
            <b/>
            <sz val="9"/>
            <color indexed="81"/>
            <rFont val="Tahoma"/>
            <family val="2"/>
          </rPr>
          <t xml:space="preserve">Joshua Rosenthal
</t>
        </r>
        <r>
          <rPr>
            <sz val="9"/>
            <color indexed="81"/>
            <rFont val="Tahoma"/>
            <family val="2"/>
          </rPr>
          <t>Use "goal seek" or "solver": Set HM to RM using WP</t>
        </r>
      </text>
    </comment>
    <comment ref="C38" authorId="0" shapeId="0">
      <text>
        <r>
          <rPr>
            <b/>
            <sz val="9"/>
            <color indexed="81"/>
            <rFont val="Tahoma"/>
            <family val="2"/>
          </rPr>
          <t>Joshua Rosenthal:</t>
        </r>
        <r>
          <rPr>
            <sz val="9"/>
            <color indexed="81"/>
            <rFont val="Tahoma"/>
            <family val="2"/>
          </rPr>
          <t xml:space="preserve">
If not "good" see WP note</t>
        </r>
      </text>
    </comment>
    <comment ref="B75" authorId="0" shapeId="0">
      <text>
        <r>
          <rPr>
            <b/>
            <sz val="9"/>
            <color indexed="81"/>
            <rFont val="Tahoma"/>
            <family val="2"/>
          </rPr>
          <t>Joshua Rosenthal:</t>
        </r>
        <r>
          <rPr>
            <sz val="9"/>
            <color indexed="81"/>
            <rFont val="Tahoma"/>
            <family val="2"/>
          </rPr>
          <t xml:space="preserve">
Same for both continuous and discontinuous rigging</t>
        </r>
      </text>
    </comment>
    <comment ref="B76" authorId="0" shapeId="0">
      <text>
        <r>
          <rPr>
            <b/>
            <sz val="9"/>
            <color indexed="81"/>
            <rFont val="Tahoma"/>
            <family val="2"/>
          </rPr>
          <t>Joshua Rosenthal:</t>
        </r>
        <r>
          <rPr>
            <sz val="9"/>
            <color indexed="81"/>
            <rFont val="Tahoma"/>
            <family val="2"/>
          </rPr>
          <t xml:space="preserve">
Same for both continuous and discontinuous rigging</t>
        </r>
      </text>
    </comment>
    <comment ref="C77" authorId="0" shapeId="0">
      <text>
        <r>
          <rPr>
            <b/>
            <sz val="9"/>
            <color indexed="81"/>
            <rFont val="Tahoma"/>
            <family val="2"/>
          </rPr>
          <t>Joshua Rosenthal:</t>
        </r>
        <r>
          <rPr>
            <sz val="9"/>
            <color indexed="81"/>
            <rFont val="Tahoma"/>
            <family val="2"/>
          </rPr>
          <t xml:space="preserve">
If "Not OK" increase cap shroud or intermediate size</t>
        </r>
      </text>
    </comment>
    <comment ref="C93" authorId="0" shapeId="0">
      <text>
        <r>
          <rPr>
            <b/>
            <sz val="9"/>
            <color indexed="81"/>
            <rFont val="Tahoma"/>
            <family val="2"/>
          </rPr>
          <t xml:space="preserve">Joshua Rosenthal
</t>
        </r>
        <r>
          <rPr>
            <sz val="9"/>
            <color indexed="81"/>
            <rFont val="Tahoma"/>
            <family val="2"/>
          </rPr>
          <t>Only needed for deck stepped mast weight</t>
        </r>
      </text>
    </comment>
  </commentList>
</comments>
</file>

<file path=xl/comments2.xml><?xml version="1.0" encoding="utf-8"?>
<comments xmlns="http://schemas.openxmlformats.org/spreadsheetml/2006/main">
  <authors>
    <author>Giles Barkley</author>
  </authors>
  <commentList>
    <comment ref="C239" authorId="0" shapeId="0">
      <text>
        <r>
          <rPr>
            <b/>
            <sz val="8"/>
            <color indexed="81"/>
            <rFont val="Tahoma"/>
            <family val="2"/>
          </rPr>
          <t>Input Leeway Angle so as to balance generated sail side force at closest heel angle and boat speed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6" authorId="0" shapeId="0">
      <text>
        <r>
          <rPr>
            <b/>
            <sz val="8"/>
            <color indexed="81"/>
            <rFont val="Tahoma"/>
            <family val="2"/>
          </rPr>
          <t>Input Leeway Angle so as to balance generated sail side force at closest heel angle and boat speed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3" authorId="0" shapeId="0">
      <text>
        <r>
          <rPr>
            <b/>
            <sz val="8"/>
            <color indexed="81"/>
            <rFont val="Tahoma"/>
            <family val="2"/>
          </rPr>
          <t>Input Leeway Angle so as to balance generated sail side force at closest heel angle and boat speed</t>
        </r>
      </text>
    </comment>
    <comment ref="C290" authorId="0" shapeId="0">
      <text>
        <r>
          <rPr>
            <b/>
            <sz val="8"/>
            <color indexed="81"/>
            <rFont val="Tahoma"/>
            <family val="2"/>
          </rPr>
          <t>Input Leeway Angle so as to balance generated sail side force at closest heel angle and boat speed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06" authorId="0" shapeId="0">
      <text>
        <r>
          <rPr>
            <b/>
            <sz val="8"/>
            <color indexed="81"/>
            <rFont val="Tahoma"/>
            <family val="2"/>
          </rPr>
          <t>Input Leeway Angle so as to balance generated sail side force at closest heel angle and boat speed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22" authorId="0" shapeId="0">
      <text>
        <r>
          <rPr>
            <b/>
            <sz val="8"/>
            <color indexed="81"/>
            <rFont val="Tahoma"/>
            <family val="2"/>
          </rPr>
          <t>Input Leeway Angle so as to balance generated sail side force at closest heel angle and boat speed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39" authorId="0" shapeId="0">
      <text>
        <r>
          <rPr>
            <b/>
            <sz val="8"/>
            <color indexed="81"/>
            <rFont val="Tahoma"/>
            <family val="2"/>
          </rPr>
          <t>Input Leeway Angle so as to balance generated sail side force at closest heel angle and boat speed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5" authorId="0" shapeId="0">
      <text>
        <r>
          <rPr>
            <b/>
            <sz val="8"/>
            <color indexed="81"/>
            <rFont val="Tahoma"/>
            <family val="2"/>
          </rPr>
          <t>Input Leeway Angle so as to balance generated sail side force at closest heel angle and boat speed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<sst xmlns="http://schemas.openxmlformats.org/spreadsheetml/2006/main" count="1172" uniqueCount="600">
  <si>
    <t>GM</t>
  </si>
  <si>
    <t>Righting Moment</t>
  </si>
  <si>
    <t>BASIC Hull Parameters</t>
  </si>
  <si>
    <t>Total Displacement (tonnes)</t>
  </si>
  <si>
    <t>Root Chord</t>
  </si>
  <si>
    <t xml:space="preserve">t/c (root) </t>
  </si>
  <si>
    <t>Tip Chord</t>
  </si>
  <si>
    <t>t/c (tip)</t>
  </si>
  <si>
    <t xml:space="preserve">Span </t>
  </si>
  <si>
    <t>Bulb Material Density (kg/m^3)</t>
  </si>
  <si>
    <t>Bulb Volume</t>
  </si>
  <si>
    <t>Bulb Mass (kg)</t>
  </si>
  <si>
    <t>Keel Particulars</t>
  </si>
  <si>
    <t>Bulb Particulars</t>
  </si>
  <si>
    <t>Daggerboard Particulars</t>
  </si>
  <si>
    <t xml:space="preserve">Daggerboard Volume </t>
  </si>
  <si>
    <t>Rudder Particulars</t>
  </si>
  <si>
    <t>Number of Rudders</t>
  </si>
  <si>
    <t>Ballast Ratio</t>
  </si>
  <si>
    <t>Keel Volume (m^3)</t>
  </si>
  <si>
    <t>Keel Mass  (kg)</t>
  </si>
  <si>
    <t>Daggerboard Density (kg/m^3)</t>
  </si>
  <si>
    <t>Daggerboard Mass  (kg)</t>
  </si>
  <si>
    <t>Rudder Blade Density</t>
  </si>
  <si>
    <t>Total Rudder Volume (single or 2 blades)</t>
  </si>
  <si>
    <t>Total Rudder Mass    (single or 2 blades)</t>
  </si>
  <si>
    <t>Total Yacht Volume of Displacement (m3)</t>
  </si>
  <si>
    <t>Hull Volume of Displacement            (m3)</t>
  </si>
  <si>
    <t>Hull Particulars</t>
  </si>
  <si>
    <t>Waterline Length  (m)</t>
  </si>
  <si>
    <t>BWL/BOA Ratio   (Non Dim)</t>
  </si>
  <si>
    <t>Overall Length      (m)</t>
  </si>
  <si>
    <t>Overall Beam       (m)</t>
  </si>
  <si>
    <t>Prismatic Coefficient          (0.51-0.6)</t>
  </si>
  <si>
    <t>Midship Area Coefficient     (0.65 -0.72)</t>
  </si>
  <si>
    <t>LOA/BOA Ratio</t>
  </si>
  <si>
    <t>LWL/BWL Ratio</t>
  </si>
  <si>
    <t>Waterline Beam   (m)</t>
  </si>
  <si>
    <t>Block Coefficient</t>
  </si>
  <si>
    <t>Hull Volumetric Coefficients</t>
  </si>
  <si>
    <t>Area Midships       (m2)</t>
  </si>
  <si>
    <t>Canoe Body Draft   (m)</t>
  </si>
  <si>
    <t>Area of Waterplane (m2)</t>
  </si>
  <si>
    <t>Canoe Body WSA  (m2)</t>
  </si>
  <si>
    <t xml:space="preserve">Waterplane Coefficient </t>
  </si>
  <si>
    <t>Transverse 2nd Mom of Area</t>
  </si>
  <si>
    <t>RESULTS</t>
  </si>
  <si>
    <t>BM (trans)</t>
  </si>
  <si>
    <t>kB (from dwl) 35% of Draft</t>
  </si>
  <si>
    <t>Simple KG From Waterline Estimate</t>
  </si>
  <si>
    <t>VCG of Mast &amp; Rigging Fr DWL</t>
  </si>
  <si>
    <t>Mast &amp; Rigging Weight   (kg)</t>
  </si>
  <si>
    <t>Hull Weight (kg) (Excl m, k, b,r &amp; dbd)</t>
  </si>
  <si>
    <t>VCG of Hull</t>
  </si>
  <si>
    <t>VCG of Keel</t>
  </si>
  <si>
    <t xml:space="preserve">VCG of Bulb </t>
  </si>
  <si>
    <t>VCG of Rudder</t>
  </si>
  <si>
    <t>VCG of Daggerboard</t>
  </si>
  <si>
    <t>KG total from DWL (m)</t>
  </si>
  <si>
    <t>STABILITY DATA</t>
  </si>
  <si>
    <t>KB from DWL (m)</t>
  </si>
  <si>
    <t>BM  trans (m)</t>
  </si>
  <si>
    <t>Slenderness Ratio</t>
  </si>
  <si>
    <t>Heeling Arm &amp; Righting Moment Data</t>
  </si>
  <si>
    <t>Heel Angle Degrees</t>
  </si>
  <si>
    <t>GZ value</t>
  </si>
  <si>
    <t>RM</t>
  </si>
  <si>
    <t>kN m</t>
  </si>
  <si>
    <t>Slope</t>
  </si>
  <si>
    <t>intercept</t>
  </si>
  <si>
    <t>Input Heel Angle</t>
  </si>
  <si>
    <t>Approx Righting Moment</t>
  </si>
  <si>
    <t>Approx Heel Angle</t>
  </si>
  <si>
    <t>Keel Cant Angle</t>
  </si>
  <si>
    <t>VCG of Keel               TCG Keel</t>
  </si>
  <si>
    <t>VCG of Bulb               TCG Bulb</t>
  </si>
  <si>
    <t>Keel Cant</t>
  </si>
  <si>
    <t>GZ Value</t>
  </si>
  <si>
    <t>TCG Bulb &amp; Keel</t>
  </si>
  <si>
    <t>Righting Lever</t>
  </si>
  <si>
    <t>kNm</t>
  </si>
  <si>
    <t>m</t>
  </si>
  <si>
    <t>CG Keel From Pivot</t>
  </si>
  <si>
    <t>CG Bulb From Pivot</t>
  </si>
  <si>
    <t>PLEASE FILL IN THE BLUE BOXES ONLY    (YOU MAY CHANGE THE PURPLE BOXES IF YOU HAVE HAZEN'S COEFFS)</t>
  </si>
  <si>
    <t>GILES' MODEL FOR INITIAL RIG BALANCE</t>
  </si>
  <si>
    <t>HAZENS MODEL FOR RIG &amp; SAIL AERODYNAMICS</t>
  </si>
  <si>
    <t>Heeling  Moment Calculator</t>
  </si>
  <si>
    <t>Main P</t>
  </si>
  <si>
    <t>Main E</t>
  </si>
  <si>
    <t>Reef Function</t>
  </si>
  <si>
    <t>BAD</t>
  </si>
  <si>
    <t>Flattener</t>
  </si>
  <si>
    <t>Area Main</t>
  </si>
  <si>
    <t>Centre of Effort Main</t>
  </si>
  <si>
    <t>Mast Ht above Shear</t>
  </si>
  <si>
    <t>Maximum Beam of hull</t>
  </si>
  <si>
    <t>TWA</t>
  </si>
  <si>
    <t>Close hauled Asp Ratio</t>
  </si>
  <si>
    <t>TWS kts</t>
  </si>
  <si>
    <t>Average Freeboard</t>
  </si>
  <si>
    <t>V boat (kts)</t>
  </si>
  <si>
    <t>Mast Diameter</t>
  </si>
  <si>
    <t>V app  (kts)</t>
  </si>
  <si>
    <t>Apparent W A (level)</t>
  </si>
  <si>
    <t>Effective Apparent Wind Ange</t>
  </si>
  <si>
    <t>Jib I</t>
  </si>
  <si>
    <t>Coefft F drive</t>
  </si>
  <si>
    <t>Jib J</t>
  </si>
  <si>
    <t>Coefft SSF</t>
  </si>
  <si>
    <t>Jib Lpp</t>
  </si>
  <si>
    <t>App Wind Speed m/s</t>
  </si>
  <si>
    <t>Area Jib</t>
  </si>
  <si>
    <t>App Wind Speed (Heeled)  m/s</t>
  </si>
  <si>
    <t>CE Jib</t>
  </si>
  <si>
    <t>0.5 *1.25 *SA* V^2 * Fd</t>
  </si>
  <si>
    <t>0.5 *1.25 *SA* V^2 * SSF</t>
  </si>
  <si>
    <t>Total Upwind Area</t>
  </si>
  <si>
    <t>Ratio SSF/Fd</t>
  </si>
  <si>
    <t>Combined Lift Cl</t>
  </si>
  <si>
    <t>Combined Cd Vis</t>
  </si>
  <si>
    <t>WH Arm</t>
  </si>
  <si>
    <t>Sail Induced drag</t>
  </si>
  <si>
    <t>Wind Heeling Moment kNm</t>
  </si>
  <si>
    <t>Drag of Mast &amp; Topsides</t>
  </si>
  <si>
    <t>Total Drag Coefficient</t>
  </si>
  <si>
    <t>Dist of CE above Shearline</t>
  </si>
  <si>
    <t>Dist CLR below LWL</t>
  </si>
  <si>
    <t>Heeling Arm</t>
  </si>
  <si>
    <t>Hazens Coefficients - For Your Information.</t>
  </si>
  <si>
    <t>Apparent Wind Angle</t>
  </si>
  <si>
    <t>Main  Cl</t>
  </si>
  <si>
    <t>Main Cd</t>
  </si>
  <si>
    <t>Jib Cl</t>
  </si>
  <si>
    <t>Jib Cd</t>
  </si>
  <si>
    <t>UPWIND SAIL SET</t>
  </si>
  <si>
    <t>Heel Angle</t>
  </si>
  <si>
    <t>Happy To have Heel Angle</t>
  </si>
  <si>
    <t>AWA=50deg</t>
  </si>
  <si>
    <t>AWA=27deg</t>
  </si>
  <si>
    <t>Sail Induced drag coefft</t>
  </si>
  <si>
    <t>see main sheet</t>
  </si>
  <si>
    <t>Yacht Particulars</t>
  </si>
  <si>
    <t>LCB/Lwl</t>
  </si>
  <si>
    <t>Water Particulars</t>
  </si>
  <si>
    <t>Cp</t>
  </si>
  <si>
    <t>Full Size LWL</t>
  </si>
  <si>
    <t>Vol^(2/3) / Aw</t>
  </si>
  <si>
    <t>Seawater Density</t>
  </si>
  <si>
    <t>Chord</t>
  </si>
  <si>
    <t>Bwl/Lwl</t>
  </si>
  <si>
    <t>Coefficient of Viscosity</t>
  </si>
  <si>
    <t>Average t/c</t>
  </si>
  <si>
    <t>BWL</t>
  </si>
  <si>
    <t>State if Rn based on 0.7 or 0.9 Lwl</t>
  </si>
  <si>
    <t>WSA</t>
  </si>
  <si>
    <t>Vol^(2/3) / Sc</t>
  </si>
  <si>
    <t>1+ k</t>
  </si>
  <si>
    <t>Cm</t>
  </si>
  <si>
    <t>LCB/LCF</t>
  </si>
  <si>
    <t>Midship Area</t>
  </si>
  <si>
    <t>LCB/LWL^2</t>
  </si>
  <si>
    <t>Tc</t>
  </si>
  <si>
    <t>Cp ^ 2</t>
  </si>
  <si>
    <t>Span</t>
  </si>
  <si>
    <t>Average Chord</t>
  </si>
  <si>
    <t>Vol ^1/3 /Lwl</t>
  </si>
  <si>
    <t>t/c Ratio</t>
  </si>
  <si>
    <t>(1+k)</t>
  </si>
  <si>
    <t>Keel Vol</t>
  </si>
  <si>
    <t>Keel VCB</t>
  </si>
  <si>
    <t>95 Residuary Resistance coefficients for the Canoe Body</t>
  </si>
  <si>
    <t>Froude  No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</si>
  <si>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</si>
  <si>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</si>
  <si>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</si>
  <si>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</si>
  <si>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</si>
  <si>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</si>
  <si>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</si>
  <si>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</si>
  <si>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</si>
  <si>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Residuary Resistance of the keel</t>
  </si>
  <si>
    <t>Fn</t>
  </si>
  <si>
    <t>A0</t>
  </si>
  <si>
    <t>A1</t>
  </si>
  <si>
    <t>A2</t>
  </si>
  <si>
    <t>A3</t>
  </si>
  <si>
    <t>Cosider The Upright Drag For Hull Keel &amp; Bulb.</t>
  </si>
  <si>
    <t>Froude No</t>
  </si>
  <si>
    <t>Boat Speed</t>
  </si>
  <si>
    <t>Cr</t>
  </si>
  <si>
    <t>Rr</t>
  </si>
  <si>
    <t>Rn Hull</t>
  </si>
  <si>
    <t>Cf</t>
  </si>
  <si>
    <t>Rf Hull</t>
  </si>
  <si>
    <t>Rt Hull</t>
  </si>
  <si>
    <t>Rn K</t>
  </si>
  <si>
    <t>Cf K</t>
  </si>
  <si>
    <t>Rv keel</t>
  </si>
  <si>
    <t>Rr Keel</t>
  </si>
  <si>
    <t>Rn Bulb</t>
  </si>
  <si>
    <t>Cf Bulb</t>
  </si>
  <si>
    <t>Rv bulb</t>
  </si>
  <si>
    <t>CONSIDER HEEL @ 10,20 &amp; 30 Degrees.</t>
  </si>
  <si>
    <t>Tc/T</t>
  </si>
  <si>
    <t>Bwl/Tc</t>
  </si>
  <si>
    <t>CH</t>
  </si>
  <si>
    <t>q.Sc.CH.Fn^2</t>
  </si>
  <si>
    <t xml:space="preserve"> Rheel @10 degs</t>
  </si>
  <si>
    <t>Rheel @20 degs</t>
  </si>
  <si>
    <t>Rheel @ 30 degs</t>
  </si>
  <si>
    <t>Now Consider The Side Force Generated.</t>
  </si>
  <si>
    <t>Bwl/T</t>
  </si>
  <si>
    <t>Calculation of effective draft</t>
  </si>
  <si>
    <t xml:space="preserve">Te/T  = </t>
  </si>
  <si>
    <t xml:space="preserve">T eff = </t>
  </si>
  <si>
    <t>Calculation of Lift Slope Coefft</t>
  </si>
  <si>
    <t>Tc/t</t>
  </si>
  <si>
    <t>T^2/Sc</t>
  </si>
  <si>
    <t>Coeffs for lift slope curve.</t>
  </si>
  <si>
    <t>b1</t>
  </si>
  <si>
    <t>b2</t>
  </si>
  <si>
    <t>b3</t>
  </si>
  <si>
    <t>b4</t>
  </si>
  <si>
    <t>Coefft =</t>
  </si>
  <si>
    <t>Generated Sideforce. FH</t>
  </si>
  <si>
    <t>Yaw Angle X =</t>
  </si>
  <si>
    <t>Degrees</t>
  </si>
  <si>
    <t>0 Degs heel</t>
  </si>
  <si>
    <t xml:space="preserve">10 Degs Heel </t>
  </si>
  <si>
    <t>20 Degs Heel</t>
  </si>
  <si>
    <t>30 Degs Heel</t>
  </si>
  <si>
    <t>Calculated Induced Drag</t>
  </si>
  <si>
    <t>Summary of Results</t>
  </si>
  <si>
    <t>Boat Speed  KTS</t>
  </si>
  <si>
    <t>Rupright</t>
  </si>
  <si>
    <t>R Heel</t>
  </si>
  <si>
    <t xml:space="preserve">Fh </t>
  </si>
  <si>
    <t>Fh/Rt</t>
  </si>
  <si>
    <t>Now Make A Good Estimate Of Boat Speed Based On Generated Sail Side Force. (Type in blue box a speed to cross the magenta line with the resistance line at closest heel angle) Then iterate between boat Fn in Rig parameters and chosen speed (blue box) untill similar.</t>
  </si>
  <si>
    <t>Equilibrium Heel Angle</t>
  </si>
  <si>
    <t>SPEED</t>
  </si>
  <si>
    <t>F drive</t>
  </si>
  <si>
    <t>Speed (Kts)</t>
  </si>
  <si>
    <t>Drag</t>
  </si>
  <si>
    <t xml:space="preserve">Now Adjust Leeway Angle below Untill the Sideforce generated at the correct heel angle intercepts the vertical and horizontal line on the KSF &amp; HSF Graph </t>
  </si>
  <si>
    <t>Leeway Angle</t>
  </si>
  <si>
    <t>Generated Sail Side Force (From Rig Parameters)</t>
  </si>
  <si>
    <t>Calculated Hull &amp; Keel Side Force (From This Page)</t>
  </si>
  <si>
    <t>Speed kts</t>
  </si>
  <si>
    <t>No Heel</t>
  </si>
  <si>
    <t>10 degs heel</t>
  </si>
  <si>
    <t>Speed</t>
  </si>
  <si>
    <t>Side Force</t>
  </si>
  <si>
    <t>Sideforce</t>
  </si>
  <si>
    <t>LCB assumed %lwl</t>
  </si>
  <si>
    <t>LCF assumed %lwl</t>
  </si>
  <si>
    <t>Distance LCB from FP</t>
  </si>
  <si>
    <t>Distance LCF from FP</t>
  </si>
  <si>
    <t>Waterplane Area</t>
  </si>
  <si>
    <t>Daggerboard Vol</t>
  </si>
  <si>
    <t>Daggerboard VCB</t>
  </si>
  <si>
    <t>Rudder VCB</t>
  </si>
  <si>
    <t>Rudder Particulars     Number</t>
  </si>
  <si>
    <t>Rudder Vol      (all blades)</t>
  </si>
  <si>
    <t>Hull Vol of Displ  m^3</t>
  </si>
  <si>
    <t>Rn DBOARD</t>
  </si>
  <si>
    <t>Cf Dboard</t>
  </si>
  <si>
    <t>Rv Dboard</t>
  </si>
  <si>
    <t>Rn Rudder</t>
  </si>
  <si>
    <t>Cf Rudder</t>
  </si>
  <si>
    <t>Rv Rudder</t>
  </si>
  <si>
    <t>Rupright (h +k + b + Db +r)</t>
  </si>
  <si>
    <t>SAD Ratio</t>
  </si>
  <si>
    <t>TWA                  35 degs</t>
  </si>
  <si>
    <t>TWA                  40 degs</t>
  </si>
  <si>
    <t>TRUE WIND ANGLE = 35 Degrees</t>
  </si>
  <si>
    <t>TRUE WIND ANGLE = 40 Degrees</t>
  </si>
  <si>
    <t>TRUE WIND ANGLE = 45 Degrees</t>
  </si>
  <si>
    <t>TRUE WIND ANGLE = 50 Degrees</t>
  </si>
  <si>
    <t>TRUE WIND ANGLE = 65 Degrees</t>
  </si>
  <si>
    <t>TRUE WIND ANGLE = 80 Degrees</t>
  </si>
  <si>
    <t>TRUE WIND ANGLE = 100 Degrees</t>
  </si>
  <si>
    <t>TRUE WIND ANGLE = 120 Degrees</t>
  </si>
  <si>
    <t>Rup+ Rheel</t>
  </si>
  <si>
    <t>TWA=35</t>
  </si>
  <si>
    <t>R total</t>
  </si>
  <si>
    <t>TWA=40</t>
  </si>
  <si>
    <t>TWA=45</t>
  </si>
  <si>
    <t>TWA=50</t>
  </si>
  <si>
    <t>TWA=65</t>
  </si>
  <si>
    <t>TWA=80</t>
  </si>
  <si>
    <t>TWA=100</t>
  </si>
  <si>
    <t>TWA=120</t>
  </si>
  <si>
    <t>Yaw =</t>
  </si>
  <si>
    <t xml:space="preserve">Yaw = </t>
  </si>
  <si>
    <t>Rt &amp; Fh At Zero Degrees Heel</t>
  </si>
  <si>
    <t>Rt &amp; Fh at 10 Degrees of Heel</t>
  </si>
  <si>
    <t>Rt &amp; Fh at 30 Degrees of Heel</t>
  </si>
  <si>
    <t>Rt &amp; Fh at 20 Degrees of Heel</t>
  </si>
  <si>
    <t>Summary of Rt &amp; R Heel</t>
  </si>
  <si>
    <t>TWA                  45degs</t>
  </si>
  <si>
    <t>Assumed Cl Jib (IMSVPP)</t>
  </si>
  <si>
    <t>Assumed Cl Main (IMSVPP)</t>
  </si>
  <si>
    <t>Assumed Cdvis Main  (IMSVPP)</t>
  </si>
  <si>
    <t>Assumed Cd Vis Jib (IMSVPP)</t>
  </si>
  <si>
    <t>TRUE WIND SPEED</t>
  </si>
  <si>
    <t>Knots</t>
  </si>
  <si>
    <t>V boat</t>
  </si>
  <si>
    <t>VMG upwind</t>
  </si>
  <si>
    <t>Froude Number</t>
  </si>
  <si>
    <t>REEF</t>
  </si>
  <si>
    <t>State True Wind Speed</t>
  </si>
  <si>
    <t>Boat Speed from Froude No</t>
  </si>
  <si>
    <t>HULL PARAMETERS</t>
  </si>
  <si>
    <t>Mast and rigging</t>
  </si>
  <si>
    <t>Hull</t>
  </si>
  <si>
    <t>Keel</t>
  </si>
  <si>
    <t>KEEL DATA</t>
  </si>
  <si>
    <t>Bulb Data</t>
  </si>
  <si>
    <t>Daggerboard Data</t>
  </si>
  <si>
    <t>Rudder Data</t>
  </si>
  <si>
    <t>Label</t>
  </si>
  <si>
    <t>LOA (m)</t>
  </si>
  <si>
    <t>LWL(m)</t>
  </si>
  <si>
    <t>BOA(m)</t>
  </si>
  <si>
    <t>BWL/BOA</t>
  </si>
  <si>
    <t>VCG</t>
  </si>
  <si>
    <t>Cant Angle</t>
  </si>
  <si>
    <r>
      <t>Bulb Material Density (kg/m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</si>
  <si>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t>A</t>
  </si>
  <si>
    <t>C</t>
  </si>
  <si>
    <t>D</t>
  </si>
  <si>
    <t>E</t>
  </si>
  <si>
    <t>F</t>
  </si>
  <si>
    <t>G</t>
  </si>
  <si>
    <t>H</t>
  </si>
  <si>
    <t>J</t>
  </si>
  <si>
    <t>K</t>
  </si>
  <si>
    <t xml:space="preserve">L </t>
  </si>
  <si>
    <t xml:space="preserve">M </t>
  </si>
  <si>
    <t>N</t>
  </si>
  <si>
    <t>Chosen Cell</t>
  </si>
  <si>
    <t>Select boat</t>
  </si>
  <si>
    <r>
      <t>Dagger board Density (kg/m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</si>
  <si>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t>Boat Label</t>
  </si>
  <si>
    <t>SELECTED BOAT</t>
  </si>
  <si>
    <t>ENTER VALUES IN ORANGE CELLS ONLY</t>
  </si>
  <si>
    <t>CALCULATED VALUES</t>
  </si>
  <si>
    <t xml:space="preserve">B </t>
  </si>
  <si>
    <t>Weight    kg</t>
  </si>
  <si>
    <t>Total Displ tonnes</t>
  </si>
  <si>
    <t>Total Displacement          (tonnes)</t>
  </si>
  <si>
    <t>RIG</t>
  </si>
  <si>
    <t>RIG TITLE</t>
  </si>
  <si>
    <t>P</t>
  </si>
  <si>
    <t>MAINSAIL</t>
  </si>
  <si>
    <t>I</t>
  </si>
  <si>
    <t>Lpp</t>
  </si>
  <si>
    <t>JIB</t>
  </si>
  <si>
    <t>MAST</t>
  </si>
  <si>
    <t>State Air Density</t>
  </si>
  <si>
    <t>Rig 2</t>
  </si>
  <si>
    <t>Rig 1</t>
  </si>
  <si>
    <t>Rig 3</t>
  </si>
  <si>
    <t xml:space="preserve">Keel VCG From DWL </t>
  </si>
  <si>
    <t xml:space="preserve">Bulb VCG From DWL </t>
  </si>
  <si>
    <t>TWA = 45 Degs</t>
  </si>
  <si>
    <t>Sail Cl &amp; Cd Coeffs for AWA=27deg</t>
  </si>
  <si>
    <t>Sail Cl &amp; Cd for AWA=50deg</t>
  </si>
  <si>
    <t>Likely Heel Angle Degrees</t>
  </si>
  <si>
    <t>% Roach Area Of Main</t>
  </si>
  <si>
    <t>Total Sail Area Incl  Roach</t>
  </si>
  <si>
    <t xml:space="preserve">Assumed Froude No </t>
  </si>
  <si>
    <t>Rig 4</t>
  </si>
  <si>
    <t>Rig 5</t>
  </si>
  <si>
    <t>Rig 6</t>
  </si>
  <si>
    <t>Rig 7</t>
  </si>
  <si>
    <t>Rig 8</t>
  </si>
  <si>
    <t>Rig 9</t>
  </si>
  <si>
    <t>Rig 10</t>
  </si>
  <si>
    <t>Please Choose Rig &amp; %age Roach Area &amp; Fill In Data For Up To10 Rigs</t>
  </si>
  <si>
    <t>Please Define Up To 14 Sailing Yachts &amp; Then Select One Particular yacht At A Time</t>
  </si>
  <si>
    <t>Adjust 'Happy to have' heel angle (blue) untill it is close to likely heel angle (yellow)</t>
  </si>
  <si>
    <t>LCB        (% LWL)</t>
  </si>
  <si>
    <t>LCF        (% LWL)</t>
  </si>
  <si>
    <t>Is Rn based on 0.7 or 0.9 Lwl</t>
  </si>
  <si>
    <t>Please define water particulars</t>
  </si>
  <si>
    <t>KEEL DATA (Make Sure AR &lt; 2.0 -2.5)</t>
  </si>
  <si>
    <t>Average t/c Ratio</t>
  </si>
  <si>
    <t>Bulb WSA</t>
  </si>
  <si>
    <t>VCG        +ve above DWL</t>
  </si>
  <si>
    <t>Giles's Initial Stability Calculator For Fixed  Keel Yachts (Student Version)</t>
  </si>
  <si>
    <t xml:space="preserve"> 'Check'      Homogenous Keel Density</t>
  </si>
  <si>
    <t>Bulb Volume   m^3</t>
  </si>
  <si>
    <t>Actual WHM</t>
  </si>
  <si>
    <t xml:space="preserve">Heel Angle </t>
  </si>
  <si>
    <t>Hull Calculations</t>
  </si>
  <si>
    <t>RESULTS PAGE        (Copy All in Green)</t>
  </si>
  <si>
    <t>bwl</t>
  </si>
  <si>
    <t>Am</t>
  </si>
  <si>
    <t>Keel wt</t>
  </si>
  <si>
    <t>Catogory</t>
  </si>
  <si>
    <t>Mass</t>
  </si>
  <si>
    <t>Structure</t>
  </si>
  <si>
    <t>Forepeak</t>
  </si>
  <si>
    <t>Forward cabin</t>
  </si>
  <si>
    <t>Saloon</t>
  </si>
  <si>
    <t>Vav Station</t>
  </si>
  <si>
    <t>Galley</t>
  </si>
  <si>
    <t>Head</t>
  </si>
  <si>
    <t>Aft Cabin</t>
  </si>
  <si>
    <t>Cockpit</t>
  </si>
  <si>
    <t>Installations</t>
  </si>
  <si>
    <t>Deck Equipment</t>
  </si>
  <si>
    <t>Rig</t>
  </si>
  <si>
    <t>Payload</t>
  </si>
  <si>
    <t>D (yd 40)</t>
  </si>
  <si>
    <t>Of D, above wl</t>
  </si>
  <si>
    <t>Fbd</t>
  </si>
  <si>
    <t>Tk</t>
  </si>
  <si>
    <t>sad</t>
  </si>
  <si>
    <t>sa</t>
  </si>
  <si>
    <t>I/j</t>
  </si>
  <si>
    <t>P/e</t>
  </si>
  <si>
    <t>% main</t>
  </si>
  <si>
    <t>sam</t>
  </si>
  <si>
    <t>saj</t>
  </si>
  <si>
    <t>lpp/j</t>
  </si>
  <si>
    <t>KA/SA</t>
  </si>
  <si>
    <t>RA/SA</t>
  </si>
  <si>
    <t>Rtr</t>
  </si>
  <si>
    <t>RAR</t>
  </si>
  <si>
    <t xml:space="preserve"> </t>
  </si>
  <si>
    <t>Ktr</t>
  </si>
  <si>
    <t>Rig inputs:</t>
  </si>
  <si>
    <t>S3</t>
  </si>
  <si>
    <t>S2</t>
  </si>
  <si>
    <t>S1</t>
  </si>
  <si>
    <t>#</t>
  </si>
  <si>
    <t>Backstay angle</t>
  </si>
  <si>
    <t>degrees</t>
  </si>
  <si>
    <t>λ3</t>
  </si>
  <si>
    <t>λ2</t>
  </si>
  <si>
    <t>λ1</t>
  </si>
  <si>
    <t>Forestay angle</t>
  </si>
  <si>
    <t>D3length</t>
  </si>
  <si>
    <t>D2length</t>
  </si>
  <si>
    <t>D1length</t>
  </si>
  <si>
    <t>V2length</t>
  </si>
  <si>
    <t>V1length</t>
  </si>
  <si>
    <t>Forestay length</t>
  </si>
  <si>
    <t>Backstay length</t>
  </si>
  <si>
    <t>Sail inputs:</t>
  </si>
  <si>
    <r>
      <t>A</t>
    </r>
    <r>
      <rPr>
        <vertAlign val="subscript"/>
        <sz val="10"/>
        <color theme="1"/>
        <rFont val="Arial"/>
        <family val="2"/>
      </rPr>
      <t>JIB</t>
    </r>
    <r>
      <rPr>
        <sz val="10"/>
        <rFont val="Arial"/>
        <family val="2"/>
      </rPr>
      <t xml:space="preserve"> % FT</t>
    </r>
  </si>
  <si>
    <t>%</t>
  </si>
  <si>
    <t>Roach %</t>
  </si>
  <si>
    <r>
      <t>A</t>
    </r>
    <r>
      <rPr>
        <vertAlign val="subscript"/>
        <sz val="10"/>
        <color theme="1"/>
        <rFont val="Arial"/>
        <family val="2"/>
      </rPr>
      <t>JIB</t>
    </r>
  </si>
  <si>
    <r>
      <t>m</t>
    </r>
    <r>
      <rPr>
        <vertAlign val="superscript"/>
        <sz val="10"/>
        <color theme="1"/>
        <rFont val="Arial"/>
        <family val="2"/>
      </rPr>
      <t>2</t>
    </r>
  </si>
  <si>
    <r>
      <t>A</t>
    </r>
    <r>
      <rPr>
        <vertAlign val="subscript"/>
        <sz val="10"/>
        <color theme="1"/>
        <rFont val="Arial"/>
        <family val="2"/>
      </rPr>
      <t>MAIN</t>
    </r>
  </si>
  <si>
    <t>Hydrostatic inputs:</t>
  </si>
  <si>
    <r>
      <t>RM</t>
    </r>
    <r>
      <rPr>
        <vertAlign val="subscript"/>
        <sz val="10"/>
        <color theme="1"/>
        <rFont val="Arial"/>
        <family val="2"/>
      </rPr>
      <t>30</t>
    </r>
  </si>
  <si>
    <t>kgm</t>
  </si>
  <si>
    <t>Wind pressure calculation:</t>
  </si>
  <si>
    <t>WP</t>
  </si>
  <si>
    <r>
      <t>kg/m</t>
    </r>
    <r>
      <rPr>
        <vertAlign val="superscript"/>
        <sz val="10"/>
        <color theme="1"/>
        <rFont val="Arial"/>
        <family val="2"/>
      </rPr>
      <t>2</t>
    </r>
  </si>
  <si>
    <t>HM check</t>
  </si>
  <si>
    <t>Sail loads:</t>
  </si>
  <si>
    <t>Masthead jib load</t>
  </si>
  <si>
    <t>kg</t>
  </si>
  <si>
    <t>Main load rate</t>
  </si>
  <si>
    <t>kg/m</t>
  </si>
  <si>
    <t>Transverse loads:</t>
  </si>
  <si>
    <t>F3</t>
  </si>
  <si>
    <t>F2</t>
  </si>
  <si>
    <t>F1</t>
  </si>
  <si>
    <t>Rigging loads:</t>
  </si>
  <si>
    <t>D3</t>
  </si>
  <si>
    <t>D2</t>
  </si>
  <si>
    <t>D1</t>
  </si>
  <si>
    <t>V2</t>
  </si>
  <si>
    <t>V1</t>
  </si>
  <si>
    <t>Forestay</t>
  </si>
  <si>
    <t>Backstay</t>
  </si>
  <si>
    <t>Spreader compression:</t>
  </si>
  <si>
    <t>SC2</t>
  </si>
  <si>
    <t>SC1</t>
  </si>
  <si>
    <t>Mast compression:</t>
  </si>
  <si>
    <t>C3</t>
  </si>
  <si>
    <t>C2</t>
  </si>
  <si>
    <t>C1</t>
  </si>
  <si>
    <t>Rigging sizing:</t>
  </si>
  <si>
    <t>Shroud SF</t>
  </si>
  <si>
    <t>Continuous</t>
  </si>
  <si>
    <t>Design load</t>
  </si>
  <si>
    <t>Wire size</t>
  </si>
  <si>
    <t>Breaking load</t>
  </si>
  <si>
    <t>Achieved SF</t>
  </si>
  <si>
    <t>Weight</t>
  </si>
  <si>
    <t>Part #</t>
  </si>
  <si>
    <t>mm</t>
  </si>
  <si>
    <t>Cap shroud</t>
  </si>
  <si>
    <t>Intermediate</t>
  </si>
  <si>
    <t>Lower</t>
  </si>
  <si>
    <t>"V1"</t>
  </si>
  <si>
    <t>Discontinuous</t>
  </si>
  <si>
    <t>D3/V2</t>
  </si>
  <si>
    <t>Aluminum material properties:</t>
  </si>
  <si>
    <t>GPa</t>
  </si>
  <si>
    <r>
      <t>σ</t>
    </r>
    <r>
      <rPr>
        <vertAlign val="subscript"/>
        <sz val="10"/>
        <color theme="1"/>
        <rFont val="Arial"/>
        <family val="2"/>
      </rPr>
      <t>Y</t>
    </r>
  </si>
  <si>
    <t>MPa</t>
  </si>
  <si>
    <t>ρ</t>
  </si>
  <si>
    <r>
      <t>kg/m</t>
    </r>
    <r>
      <rPr>
        <vertAlign val="superscript"/>
        <sz val="10"/>
        <color theme="1"/>
        <rFont val="Arial"/>
        <family val="2"/>
      </rPr>
      <t>3</t>
    </r>
  </si>
  <si>
    <t>Mast section sizing:</t>
  </si>
  <si>
    <t>Mast SF</t>
  </si>
  <si>
    <t>Deck to keel</t>
  </si>
  <si>
    <t>Length</t>
  </si>
  <si>
    <t>Design Load</t>
  </si>
  <si>
    <r>
      <t>I</t>
    </r>
    <r>
      <rPr>
        <vertAlign val="subscript"/>
        <sz val="10"/>
        <color theme="1"/>
        <rFont val="Arial"/>
        <family val="2"/>
      </rPr>
      <t>deck stepped</t>
    </r>
  </si>
  <si>
    <r>
      <t>I</t>
    </r>
    <r>
      <rPr>
        <vertAlign val="subscript"/>
        <sz val="10"/>
        <color theme="1"/>
        <rFont val="Arial"/>
        <family val="2"/>
      </rPr>
      <t>keel stepped</t>
    </r>
  </si>
  <si>
    <t>kN</t>
  </si>
  <si>
    <r>
      <t>cm</t>
    </r>
    <r>
      <rPr>
        <vertAlign val="superscript"/>
        <sz val="10"/>
        <color theme="1"/>
        <rFont val="Arial"/>
        <family val="2"/>
      </rPr>
      <t>4</t>
    </r>
  </si>
  <si>
    <t>Panel 3</t>
  </si>
  <si>
    <t>Panel 2</t>
  </si>
  <si>
    <t>Panel 1</t>
  </si>
  <si>
    <r>
      <t xml:space="preserve">I Req </t>
    </r>
    <r>
      <rPr>
        <vertAlign val="subscript"/>
        <sz val="10"/>
        <color theme="1"/>
        <rFont val="Arial"/>
        <family val="2"/>
      </rPr>
      <t>Deck stepped</t>
    </r>
  </si>
  <si>
    <r>
      <t xml:space="preserve">I Req </t>
    </r>
    <r>
      <rPr>
        <vertAlign val="subscript"/>
        <sz val="10"/>
        <color theme="1"/>
        <rFont val="Arial"/>
        <family val="2"/>
      </rPr>
      <t>Keel stepped</t>
    </r>
  </si>
  <si>
    <t>Relevant span</t>
  </si>
  <si>
    <t>Relevant load</t>
  </si>
  <si>
    <t>Ixx</t>
  </si>
  <si>
    <t>Euler SF</t>
  </si>
  <si>
    <t>Deck stepped</t>
  </si>
  <si>
    <t>Keel stepped</t>
  </si>
  <si>
    <t>Spreader section sizing:</t>
  </si>
  <si>
    <t>Spreader SF</t>
  </si>
  <si>
    <t>L/B ratio</t>
  </si>
  <si>
    <t>t % of length</t>
  </si>
  <si>
    <t>Design I</t>
  </si>
  <si>
    <t>Breadth</t>
  </si>
  <si>
    <t>Thickness</t>
  </si>
  <si>
    <t>Weight (both)</t>
  </si>
  <si>
    <t>Upper spreader</t>
  </si>
  <si>
    <t>Lower Spreader</t>
  </si>
  <si>
    <t>Rig weight and VCG:</t>
  </si>
  <si>
    <t>Rigging type</t>
  </si>
  <si>
    <t>Mast type</t>
  </si>
  <si>
    <t>Moment</t>
  </si>
  <si>
    <t>Upper spreaders</t>
  </si>
  <si>
    <t>Lower spreaders</t>
  </si>
  <si>
    <t>Mast</t>
  </si>
  <si>
    <t>∑</t>
  </si>
  <si>
    <t>With 10% margin</t>
  </si>
  <si>
    <t>Note: Mast base is datum, +ve up</t>
  </si>
  <si>
    <t>Navtec 1x19 wire data:</t>
  </si>
  <si>
    <t>Selden "C"-section mast data:</t>
  </si>
  <si>
    <t>Diameter</t>
  </si>
  <si>
    <t>Loadmax</t>
  </si>
  <si>
    <t>Stretch</t>
  </si>
  <si>
    <t>Width</t>
  </si>
  <si>
    <t>k</t>
  </si>
  <si>
    <t>Area</t>
  </si>
  <si>
    <t>kg/100m</t>
  </si>
  <si>
    <t>mm/mm/1000kg</t>
  </si>
  <si>
    <t>S19-M02</t>
  </si>
  <si>
    <t>C156</t>
  </si>
  <si>
    <t>S19-M025</t>
  </si>
  <si>
    <t>C175</t>
  </si>
  <si>
    <t>S19-M03</t>
  </si>
  <si>
    <t>C193</t>
  </si>
  <si>
    <t>S19-M04</t>
  </si>
  <si>
    <t>C211</t>
  </si>
  <si>
    <t>S19-M05</t>
  </si>
  <si>
    <t>C227</t>
  </si>
  <si>
    <t>S19-M06</t>
  </si>
  <si>
    <t>C245</t>
  </si>
  <si>
    <t>S19-M07</t>
  </si>
  <si>
    <t>C264</t>
  </si>
  <si>
    <t>S19-M08</t>
  </si>
  <si>
    <t>C285</t>
  </si>
  <si>
    <t>S19-M10</t>
  </si>
  <si>
    <t>C304</t>
  </si>
  <si>
    <t>S19-M11</t>
  </si>
  <si>
    <t>C321</t>
  </si>
  <si>
    <t>S19-M12</t>
  </si>
  <si>
    <t>C365</t>
  </si>
  <si>
    <t>S19-M14</t>
  </si>
  <si>
    <t>S19-M16</t>
  </si>
  <si>
    <t>S19-M19</t>
  </si>
  <si>
    <t>S19-M22</t>
  </si>
  <si>
    <t>S19-M26</t>
  </si>
  <si>
    <t>S19-M28</t>
  </si>
  <si>
    <t>S19-M30</t>
  </si>
  <si>
    <t>S19-M32</t>
  </si>
  <si>
    <t>ρ Steel</t>
  </si>
  <si>
    <t xml:space="preserve">     </t>
  </si>
  <si>
    <t>Sheer to mast base</t>
  </si>
  <si>
    <t>KAR</t>
  </si>
  <si>
    <t>c</t>
  </si>
  <si>
    <t>Red No = Heel 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</si>
</sst>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"/>
    <numFmt numFmtId="165" formatCode="0.0000"/>
    <numFmt numFmtId="166" formatCode="0.0"/>
    <numFmt numFmtId="167" formatCode="_([$€-2]* #,##0.00_);_([$€-2]* \(#,##0.00\);_([$€-2]* &quot;-&quot;??_)"/>
    <numFmt numFmtId="168" formatCode="0.0E+00"/>
    <numFmt numFmtId="169" formatCode="0.000000"/>
    <numFmt numFmtId="170" formatCode="0.0000000000000"/>
  </numFmts>
  <fonts count="30" x14ac:knownFonts="1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6"/>
      <name val="Arial"/>
      <family val="2"/>
    </font>
    <font>
      <vertAlign val="superscript"/>
      <sz val="10"/>
      <name val="Arial"/>
      <family val="2"/>
    </font>
    <font>
      <b/>
      <sz val="16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10"/>
      <color rgb="FF3F3F76"/>
      <name val="Arial"/>
      <family val="2"/>
    </font>
    <font>
      <b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20"/>
      <color rgb="FF000000"/>
      <name val="Arial"/>
      <family val="2"/>
    </font>
    <font>
      <b/>
      <sz val="14"/>
      <color rgb="FFFF0000"/>
      <name val="Arial"/>
      <family val="2"/>
    </font>
    <font>
      <b/>
      <sz val="10"/>
      <color rgb="FFFF000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</fills>
  <borders count="1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slantDashDot">
        <color indexed="64"/>
      </diagonal>
    </border>
    <border diagonalDown="1">
      <left style="medium">
        <color indexed="64"/>
      </left>
      <right/>
      <top style="medium">
        <color indexed="64"/>
      </top>
      <bottom/>
      <diagonal style="slantDashDot">
        <color indexed="64"/>
      </diagonal>
    </border>
    <border diagonalDown="1">
      <left/>
      <right/>
      <top style="medium">
        <color indexed="64"/>
      </top>
      <bottom/>
      <diagonal style="slantDashDot">
        <color indexed="64"/>
      </diagonal>
    </border>
    <border diagonalDown="1">
      <left/>
      <right style="medium">
        <color indexed="64"/>
      </right>
      <top style="medium">
        <color indexed="64"/>
      </top>
      <bottom/>
      <diagonal style="slantDashDot">
        <color indexed="64"/>
      </diagonal>
    </border>
    <border diagonalDown="1">
      <left style="medium">
        <color indexed="64"/>
      </left>
      <right/>
      <top/>
      <bottom/>
      <diagonal style="slantDashDot">
        <color indexed="64"/>
      </diagonal>
    </border>
    <border diagonalDown="1">
      <left style="medium">
        <color indexed="64"/>
      </left>
      <right/>
      <top style="medium">
        <color indexed="64"/>
      </top>
      <bottom style="medium">
        <color indexed="64"/>
      </bottom>
      <diagonal style="slantDashDot">
        <color indexed="64"/>
      </diagonal>
    </border>
    <border diagonalDown="1">
      <left/>
      <right/>
      <top/>
      <bottom/>
      <diagonal style="slantDashDot">
        <color indexed="64"/>
      </diagonal>
    </border>
    <border diagonalDown="1">
      <left style="medium">
        <color indexed="64"/>
      </left>
      <right/>
      <top style="medium">
        <color indexed="64"/>
      </top>
      <bottom style="thin">
        <color indexed="64"/>
      </bottom>
      <diagonal style="slantDashDot">
        <color indexed="64"/>
      </diagonal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slantDashDot">
        <color indexed="64"/>
      </diagonal>
    </border>
    <border diagonalDown="1">
      <left style="medium">
        <color indexed="64"/>
      </left>
      <right style="medium">
        <color indexed="64"/>
      </right>
      <top style="medium">
        <color indexed="64"/>
      </top>
      <bottom/>
      <diagonal style="slantDashDot">
        <color indexed="64"/>
      </diagonal>
    </border>
    <border diagonalDown="1">
      <left/>
      <right style="medium">
        <color indexed="64"/>
      </right>
      <top/>
      <bottom/>
      <diagonal style="slantDashDot">
        <color indexed="64"/>
      </diagonal>
    </border>
    <border diagonalDown="1">
      <left style="medium">
        <color indexed="64"/>
      </left>
      <right/>
      <top/>
      <bottom style="thin">
        <color indexed="64"/>
      </bottom>
      <diagonal style="slantDashDot">
        <color indexed="64"/>
      </diagonal>
    </border>
    <border diagonalDown="1">
      <left style="medium">
        <color indexed="64"/>
      </left>
      <right style="medium">
        <color indexed="64"/>
      </right>
      <top/>
      <bottom style="thin">
        <color indexed="64"/>
      </bottom>
      <diagonal style="slantDashDot">
        <color indexed="64"/>
      </diagonal>
    </border>
    <border diagonalDown="1">
      <left style="medium">
        <color indexed="64"/>
      </left>
      <right/>
      <top style="thin">
        <color indexed="64"/>
      </top>
      <bottom style="medium">
        <color indexed="64"/>
      </bottom>
      <diagonal style="slantDashDot">
        <color indexed="64"/>
      </diagonal>
    </border>
    <border diagonalDown="1"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slantDashDot">
        <color indexed="64"/>
      </diagonal>
    </border>
    <border diagonalDown="1">
      <left style="medium">
        <color indexed="64"/>
      </left>
      <right/>
      <top style="thin">
        <color indexed="64"/>
      </top>
      <bottom style="thin">
        <color indexed="64"/>
      </bottom>
      <diagonal style="slantDashDot">
        <color indexed="64"/>
      </diagonal>
    </border>
    <border diagonalDown="1"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slantDashDot">
        <color indexed="64"/>
      </diagonal>
    </border>
    <border diagonalDown="1">
      <left style="medium">
        <color indexed="64"/>
      </left>
      <right/>
      <top style="thin">
        <color indexed="64"/>
      </top>
      <bottom/>
      <diagonal style="slantDashDot">
        <color indexed="64"/>
      </diagonal>
    </border>
    <border diagonalDown="1">
      <left style="medium">
        <color indexed="64"/>
      </left>
      <right style="medium">
        <color indexed="64"/>
      </right>
      <top style="thin">
        <color indexed="64"/>
      </top>
      <bottom/>
      <diagonal style="slantDashDot">
        <color indexed="64"/>
      </diagonal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 style="slantDashDot">
        <color indexed="64"/>
      </diagonal>
    </border>
    <border diagonalDown="1"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 style="slantDashDot">
        <color indexed="64"/>
      </diagonal>
    </border>
    <border diagonalDown="1"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slantDashDot">
        <color indexed="64"/>
      </diagonal>
    </border>
    <border diagonalDown="1">
      <left style="medium">
        <color indexed="64"/>
      </left>
      <right style="thin">
        <color indexed="64"/>
      </right>
      <top/>
      <bottom style="thin">
        <color indexed="64"/>
      </bottom>
      <diagonal style="slantDashDot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slantDashDot">
        <color indexed="64"/>
      </diagonal>
    </border>
    <border diagonalDown="1">
      <left style="thin">
        <color indexed="64"/>
      </left>
      <right style="medium">
        <color indexed="64"/>
      </right>
      <top/>
      <bottom style="thin">
        <color indexed="64"/>
      </bottom>
      <diagonal style="slantDashDot">
        <color indexed="64"/>
      </diagonal>
    </border>
    <border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slantDashDot">
        <color indexed="64"/>
      </diagonal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slantDashDot">
        <color indexed="64"/>
      </diagonal>
    </border>
    <border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slantDashDot">
        <color indexed="64"/>
      </diagonal>
    </border>
    <border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slantDashDot">
        <color indexed="64"/>
      </diagonal>
    </border>
    <border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slantDashDot">
        <color indexed="64"/>
      </diagonal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slantDashDot">
        <color indexed="64"/>
      </diagonal>
    </border>
    <border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slantDashDot">
        <color indexed="64"/>
      </diagonal>
    </border>
    <border diagonalDown="1">
      <left/>
      <right/>
      <top/>
      <bottom style="medium">
        <color indexed="64"/>
      </bottom>
      <diagonal style="slantDashDot">
        <color indexed="64"/>
      </diagonal>
    </border>
    <border diagonalDown="1">
      <left style="medium">
        <color indexed="64"/>
      </left>
      <right/>
      <top/>
      <bottom style="medium">
        <color indexed="64"/>
      </bottom>
      <diagonal style="slantDashDot">
        <color indexed="64"/>
      </diagonal>
    </border>
    <border diagonalDown="1">
      <left/>
      <right style="medium">
        <color indexed="64"/>
      </right>
      <top/>
      <bottom style="medium">
        <color indexed="64"/>
      </bottom>
      <diagonal style="slantDashDot">
        <color indexed="64"/>
      </diagonal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9" fontId="18" fillId="0" borderId="0" applyFont="0" applyFill="0" applyBorder="0" applyAlignment="0" applyProtection="0"/>
    <xf numFmtId="0" fontId="21" fillId="25" borderId="109" applyNumberFormat="0" applyAlignment="0" applyProtection="0"/>
    <xf numFmtId="167" fontId="1" fillId="0" borderId="0" applyFont="0" applyFill="0" applyBorder="0" applyAlignment="0" applyProtection="0"/>
  </cellStyleXfs>
  <cellXfs count="977">
    <xf numFmtId="0" fontId="0" fillId="0" borderId="0" xfId="0"/>
    <xf numFmtId="0" fontId="0" fillId="0" borderId="0" xfId="0" applyFill="1" applyBorder="1"/>
    <xf numFmtId="0" fontId="0" fillId="0" borderId="0" xfId="0" applyFill="1" applyBorder="1" applyAlignment="1"/>
    <xf numFmtId="0" fontId="0" fillId="0" borderId="0" xfId="0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0" borderId="4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3" xfId="0" applyBorder="1" applyAlignment="1">
      <alignment horizontal="center"/>
    </xf>
    <xf numFmtId="0" fontId="0" fillId="0" borderId="14" xfId="0" applyBorder="1"/>
    <xf numFmtId="0" fontId="0" fillId="0" borderId="18" xfId="0" applyBorder="1"/>
    <xf numFmtId="0" fontId="0" fillId="0" borderId="11" xfId="0" applyBorder="1"/>
    <xf numFmtId="164" fontId="0" fillId="0" borderId="9" xfId="0" applyNumberFormat="1" applyFill="1" applyBorder="1" applyAlignment="1">
      <alignment horizontal="center"/>
    </xf>
    <xf numFmtId="164" fontId="0" fillId="0" borderId="12" xfId="0" applyNumberFormat="1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31" xfId="0" applyBorder="1"/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35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2" fillId="0" borderId="5" xfId="0" applyFont="1" applyBorder="1"/>
    <xf numFmtId="0" fontId="2" fillId="0" borderId="28" xfId="0" applyFont="1" applyBorder="1"/>
    <xf numFmtId="0" fontId="0" fillId="0" borderId="9" xfId="0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25" xfId="0" applyFill="1" applyBorder="1"/>
    <xf numFmtId="0" fontId="0" fillId="5" borderId="25" xfId="0" applyFill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0" fontId="0" fillId="0" borderId="21" xfId="0" applyFill="1" applyBorder="1"/>
    <xf numFmtId="164" fontId="0" fillId="0" borderId="27" xfId="0" applyNumberFormat="1" applyBorder="1" applyAlignment="1">
      <alignment horizontal="center"/>
    </xf>
    <xf numFmtId="0" fontId="0" fillId="0" borderId="28" xfId="0" applyBorder="1"/>
    <xf numFmtId="0" fontId="0" fillId="0" borderId="23" xfId="0" applyBorder="1"/>
    <xf numFmtId="0" fontId="2" fillId="0" borderId="31" xfId="0" applyFont="1" applyFill="1" applyBorder="1" applyAlignment="1">
      <alignment horizont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164" fontId="0" fillId="0" borderId="13" xfId="0" applyNumberFormat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164" fontId="0" fillId="0" borderId="42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2" fontId="0" fillId="0" borderId="31" xfId="0" applyNumberForma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Protection="1"/>
    <xf numFmtId="0" fontId="5" fillId="2" borderId="16" xfId="0" applyFont="1" applyFill="1" applyBorder="1" applyProtection="1"/>
    <xf numFmtId="0" fontId="0" fillId="2" borderId="40" xfId="0" applyFill="1" applyBorder="1" applyProtection="1"/>
    <xf numFmtId="0" fontId="0" fillId="0" borderId="26" xfId="0" applyBorder="1" applyProtection="1"/>
    <xf numFmtId="164" fontId="0" fillId="0" borderId="27" xfId="0" applyNumberFormat="1" applyBorder="1" applyAlignment="1" applyProtection="1">
      <alignment horizontal="center"/>
    </xf>
    <xf numFmtId="0" fontId="5" fillId="2" borderId="28" xfId="0" applyFont="1" applyFill="1" applyBorder="1" applyProtection="1"/>
    <xf numFmtId="0" fontId="5" fillId="2" borderId="23" xfId="0" applyFont="1" applyFill="1" applyBorder="1" applyProtection="1"/>
    <xf numFmtId="0" fontId="0" fillId="0" borderId="5" xfId="0" applyBorder="1" applyProtection="1"/>
    <xf numFmtId="164" fontId="0" fillId="0" borderId="3" xfId="0" applyNumberFormat="1" applyBorder="1" applyAlignment="1" applyProtection="1">
      <alignment horizontal="center"/>
    </xf>
    <xf numFmtId="0" fontId="0" fillId="0" borderId="26" xfId="0" applyFill="1" applyBorder="1" applyProtection="1"/>
    <xf numFmtId="0" fontId="0" fillId="0" borderId="27" xfId="0" applyFill="1" applyBorder="1" applyAlignment="1" applyProtection="1">
      <alignment horizontal="center"/>
    </xf>
    <xf numFmtId="0" fontId="0" fillId="0" borderId="6" xfId="0" applyFill="1" applyBorder="1" applyProtection="1"/>
    <xf numFmtId="0" fontId="0" fillId="0" borderId="5" xfId="0" applyFill="1" applyBorder="1" applyProtection="1"/>
    <xf numFmtId="0" fontId="0" fillId="0" borderId="3" xfId="0" applyFill="1" applyBorder="1" applyAlignment="1" applyProtection="1">
      <alignment horizontal="center"/>
    </xf>
    <xf numFmtId="0" fontId="0" fillId="0" borderId="21" xfId="0" applyFill="1" applyBorder="1" applyProtection="1"/>
    <xf numFmtId="0" fontId="0" fillId="0" borderId="0" xfId="0" applyAlignment="1" applyProtection="1">
      <alignment horizontal="center"/>
    </xf>
    <xf numFmtId="0" fontId="0" fillId="0" borderId="21" xfId="0" applyBorder="1" applyProtection="1"/>
    <xf numFmtId="0" fontId="0" fillId="0" borderId="4" xfId="0" applyBorder="1" applyAlignment="1" applyProtection="1">
      <alignment horizontal="center"/>
    </xf>
    <xf numFmtId="0" fontId="0" fillId="0" borderId="55" xfId="0" applyFill="1" applyBorder="1" applyProtection="1"/>
    <xf numFmtId="2" fontId="0" fillId="0" borderId="3" xfId="0" applyNumberFormat="1" applyFill="1" applyBorder="1" applyAlignment="1" applyProtection="1">
      <alignment horizontal="center"/>
    </xf>
    <xf numFmtId="164" fontId="0" fillId="0" borderId="4" xfId="0" applyNumberFormat="1" applyBorder="1" applyAlignment="1" applyProtection="1">
      <alignment horizontal="center"/>
    </xf>
    <xf numFmtId="0" fontId="0" fillId="0" borderId="56" xfId="0" applyFill="1" applyBorder="1" applyProtection="1"/>
    <xf numFmtId="0" fontId="0" fillId="0" borderId="0" xfId="0" applyFill="1" applyBorder="1" applyAlignment="1" applyProtection="1">
      <alignment horizontal="center" vertical="center"/>
    </xf>
    <xf numFmtId="164" fontId="0" fillId="0" borderId="3" xfId="0" applyNumberFormat="1" applyFill="1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8" borderId="0" xfId="0" applyFill="1" applyProtection="1"/>
    <xf numFmtId="0" fontId="5" fillId="8" borderId="28" xfId="0" applyFont="1" applyFill="1" applyBorder="1" applyAlignment="1" applyProtection="1">
      <alignment horizontal="center"/>
    </xf>
    <xf numFmtId="0" fontId="0" fillId="8" borderId="44" xfId="0" applyFill="1" applyBorder="1" applyAlignment="1" applyProtection="1">
      <alignment horizontal="center"/>
    </xf>
    <xf numFmtId="0" fontId="0" fillId="8" borderId="23" xfId="0" applyFill="1" applyBorder="1" applyAlignment="1" applyProtection="1">
      <alignment horizontal="center"/>
    </xf>
    <xf numFmtId="0" fontId="5" fillId="8" borderId="55" xfId="0" applyFont="1" applyFill="1" applyBorder="1" applyAlignment="1" applyProtection="1">
      <alignment horizontal="center"/>
    </xf>
    <xf numFmtId="0" fontId="0" fillId="8" borderId="57" xfId="0" applyFill="1" applyBorder="1" applyAlignment="1" applyProtection="1">
      <alignment horizontal="center"/>
    </xf>
    <xf numFmtId="0" fontId="0" fillId="8" borderId="58" xfId="0" applyFill="1" applyBorder="1" applyAlignment="1" applyProtection="1">
      <alignment horizontal="center"/>
    </xf>
    <xf numFmtId="0" fontId="5" fillId="8" borderId="50" xfId="0" applyFont="1" applyFill="1" applyBorder="1" applyAlignment="1" applyProtection="1">
      <alignment horizontal="center"/>
    </xf>
    <xf numFmtId="0" fontId="0" fillId="8" borderId="59" xfId="0" applyFill="1" applyBorder="1" applyAlignment="1" applyProtection="1">
      <alignment horizontal="center"/>
    </xf>
    <xf numFmtId="0" fontId="0" fillId="8" borderId="51" xfId="0" applyFill="1" applyBorder="1" applyAlignment="1" applyProtection="1">
      <alignment horizontal="center"/>
    </xf>
    <xf numFmtId="0" fontId="0" fillId="8" borderId="52" xfId="0" applyFill="1" applyBorder="1" applyAlignment="1" applyProtection="1">
      <alignment horizontal="left"/>
    </xf>
    <xf numFmtId="0" fontId="0" fillId="8" borderId="54" xfId="0" applyFill="1" applyBorder="1" applyProtection="1"/>
    <xf numFmtId="0" fontId="0" fillId="8" borderId="53" xfId="0" applyFill="1" applyBorder="1" applyProtection="1"/>
    <xf numFmtId="0" fontId="0" fillId="8" borderId="28" xfId="0" applyFill="1" applyBorder="1" applyAlignment="1" applyProtection="1">
      <alignment horizontal="center"/>
    </xf>
    <xf numFmtId="0" fontId="0" fillId="8" borderId="55" xfId="0" applyFill="1" applyBorder="1" applyAlignment="1" applyProtection="1">
      <alignment horizontal="center"/>
    </xf>
    <xf numFmtId="0" fontId="0" fillId="8" borderId="50" xfId="0" applyFill="1" applyBorder="1" applyAlignment="1" applyProtection="1">
      <alignment horizontal="center"/>
    </xf>
    <xf numFmtId="0" fontId="0" fillId="10" borderId="0" xfId="0" applyFill="1" applyProtection="1"/>
    <xf numFmtId="0" fontId="0" fillId="11" borderId="16" xfId="0" applyFill="1" applyBorder="1" applyProtection="1"/>
    <xf numFmtId="0" fontId="0" fillId="11" borderId="37" xfId="0" applyFill="1" applyBorder="1" applyProtection="1"/>
    <xf numFmtId="0" fontId="0" fillId="11" borderId="40" xfId="0" applyFill="1" applyBorder="1" applyProtection="1"/>
    <xf numFmtId="0" fontId="0" fillId="0" borderId="28" xfId="0" applyBorder="1" applyAlignment="1" applyProtection="1">
      <alignment horizontal="center"/>
    </xf>
    <xf numFmtId="0" fontId="0" fillId="0" borderId="44" xfId="0" applyBorder="1" applyAlignment="1" applyProtection="1">
      <alignment horizontal="center"/>
    </xf>
    <xf numFmtId="0" fontId="0" fillId="4" borderId="44" xfId="0" applyFill="1" applyBorder="1" applyAlignment="1" applyProtection="1">
      <alignment horizontal="center"/>
    </xf>
    <xf numFmtId="0" fontId="0" fillId="4" borderId="23" xfId="0" applyFill="1" applyBorder="1" applyAlignment="1" applyProtection="1">
      <alignment horizontal="center"/>
    </xf>
    <xf numFmtId="0" fontId="0" fillId="11" borderId="28" xfId="0" applyFill="1" applyBorder="1" applyAlignment="1" applyProtection="1">
      <alignment horizontal="center"/>
    </xf>
    <xf numFmtId="0" fontId="0" fillId="11" borderId="23" xfId="0" applyFill="1" applyBorder="1" applyAlignment="1" applyProtection="1">
      <alignment horizontal="center"/>
    </xf>
    <xf numFmtId="164" fontId="0" fillId="0" borderId="6" xfId="0" applyNumberFormat="1" applyBorder="1" applyAlignment="1" applyProtection="1">
      <alignment horizontal="center"/>
    </xf>
    <xf numFmtId="164" fontId="0" fillId="0" borderId="22" xfId="0" applyNumberFormat="1" applyBorder="1" applyAlignment="1" applyProtection="1">
      <alignment horizontal="center"/>
    </xf>
    <xf numFmtId="165" fontId="0" fillId="0" borderId="22" xfId="0" applyNumberFormat="1" applyBorder="1" applyAlignment="1" applyProtection="1">
      <alignment horizontal="center"/>
    </xf>
    <xf numFmtId="11" fontId="0" fillId="0" borderId="22" xfId="0" applyNumberFormat="1" applyBorder="1" applyAlignment="1" applyProtection="1">
      <alignment horizontal="center"/>
    </xf>
    <xf numFmtId="166" fontId="0" fillId="4" borderId="22" xfId="0" applyNumberFormat="1" applyFill="1" applyBorder="1" applyAlignment="1" applyProtection="1">
      <alignment horizontal="center"/>
    </xf>
    <xf numFmtId="164" fontId="0" fillId="4" borderId="22" xfId="0" applyNumberFormat="1" applyFill="1" applyBorder="1" applyAlignment="1" applyProtection="1">
      <alignment horizontal="center"/>
    </xf>
    <xf numFmtId="164" fontId="0" fillId="4" borderId="2" xfId="0" applyNumberFormat="1" applyFill="1" applyBorder="1" applyAlignment="1" applyProtection="1">
      <alignment horizontal="center"/>
    </xf>
    <xf numFmtId="2" fontId="0" fillId="11" borderId="2" xfId="0" applyNumberFormat="1" applyFill="1" applyBorder="1" applyAlignment="1" applyProtection="1">
      <alignment horizontal="center"/>
    </xf>
    <xf numFmtId="164" fontId="0" fillId="0" borderId="5" xfId="0" applyNumberFormat="1" applyBorder="1" applyAlignment="1" applyProtection="1">
      <alignment horizontal="center"/>
    </xf>
    <xf numFmtId="164" fontId="0" fillId="0" borderId="20" xfId="0" applyNumberFormat="1" applyBorder="1" applyAlignment="1" applyProtection="1">
      <alignment horizontal="center"/>
    </xf>
    <xf numFmtId="165" fontId="0" fillId="0" borderId="20" xfId="0" applyNumberFormat="1" applyBorder="1" applyAlignment="1" applyProtection="1">
      <alignment horizontal="center"/>
    </xf>
    <xf numFmtId="11" fontId="0" fillId="0" borderId="20" xfId="0" applyNumberFormat="1" applyBorder="1" applyAlignment="1" applyProtection="1">
      <alignment horizontal="center"/>
    </xf>
    <xf numFmtId="166" fontId="0" fillId="4" borderId="20" xfId="0" applyNumberFormat="1" applyFill="1" applyBorder="1" applyAlignment="1" applyProtection="1">
      <alignment horizontal="center"/>
    </xf>
    <xf numFmtId="164" fontId="0" fillId="4" borderId="20" xfId="0" applyNumberFormat="1" applyFill="1" applyBorder="1" applyAlignment="1" applyProtection="1">
      <alignment horizontal="center"/>
    </xf>
    <xf numFmtId="164" fontId="0" fillId="4" borderId="3" xfId="0" applyNumberFormat="1" applyFill="1" applyBorder="1" applyAlignment="1" applyProtection="1">
      <alignment horizontal="center"/>
    </xf>
    <xf numFmtId="2" fontId="0" fillId="11" borderId="5" xfId="0" applyNumberFormat="1" applyFill="1" applyBorder="1" applyAlignment="1" applyProtection="1">
      <alignment horizontal="center"/>
    </xf>
    <xf numFmtId="2" fontId="0" fillId="11" borderId="3" xfId="0" applyNumberFormat="1" applyFill="1" applyBorder="1" applyAlignment="1" applyProtection="1">
      <alignment horizontal="center"/>
    </xf>
    <xf numFmtId="164" fontId="0" fillId="0" borderId="21" xfId="0" applyNumberFormat="1" applyBorder="1" applyAlignment="1" applyProtection="1">
      <alignment horizontal="center"/>
    </xf>
    <xf numFmtId="164" fontId="0" fillId="0" borderId="49" xfId="0" applyNumberFormat="1" applyBorder="1" applyAlignment="1" applyProtection="1">
      <alignment horizontal="center"/>
    </xf>
    <xf numFmtId="165" fontId="0" fillId="0" borderId="49" xfId="0" applyNumberFormat="1" applyBorder="1" applyAlignment="1" applyProtection="1">
      <alignment horizontal="center"/>
    </xf>
    <xf numFmtId="11" fontId="0" fillId="0" borderId="49" xfId="0" applyNumberFormat="1" applyBorder="1" applyAlignment="1" applyProtection="1">
      <alignment horizontal="center"/>
    </xf>
    <xf numFmtId="166" fontId="0" fillId="4" borderId="49" xfId="0" applyNumberFormat="1" applyFill="1" applyBorder="1" applyAlignment="1" applyProtection="1">
      <alignment horizontal="center"/>
    </xf>
    <xf numFmtId="164" fontId="0" fillId="4" borderId="49" xfId="0" applyNumberFormat="1" applyFill="1" applyBorder="1" applyAlignment="1" applyProtection="1">
      <alignment horizontal="center"/>
    </xf>
    <xf numFmtId="164" fontId="0" fillId="4" borderId="4" xfId="0" applyNumberFormat="1" applyFill="1" applyBorder="1" applyAlignment="1" applyProtection="1">
      <alignment horizontal="center"/>
    </xf>
    <xf numFmtId="2" fontId="0" fillId="11" borderId="21" xfId="0" applyNumberFormat="1" applyFill="1" applyBorder="1" applyAlignment="1" applyProtection="1">
      <alignment horizontal="center"/>
    </xf>
    <xf numFmtId="2" fontId="0" fillId="11" borderId="4" xfId="0" applyNumberFormat="1" applyFill="1" applyBorder="1" applyAlignment="1" applyProtection="1">
      <alignment horizontal="center"/>
    </xf>
    <xf numFmtId="164" fontId="0" fillId="0" borderId="0" xfId="0" applyNumberFormat="1" applyProtection="1"/>
    <xf numFmtId="164" fontId="0" fillId="10" borderId="0" xfId="0" applyNumberFormat="1" applyFill="1" applyProtection="1"/>
    <xf numFmtId="0" fontId="0" fillId="0" borderId="0" xfId="0" applyFill="1" applyBorder="1" applyProtection="1"/>
    <xf numFmtId="0" fontId="0" fillId="0" borderId="6" xfId="0" applyBorder="1" applyProtection="1"/>
    <xf numFmtId="0" fontId="0" fillId="0" borderId="2" xfId="0" applyBorder="1" applyProtection="1"/>
    <xf numFmtId="0" fontId="0" fillId="0" borderId="0" xfId="0" applyFill="1" applyBorder="1" applyAlignment="1" applyProtection="1">
      <alignment horizontal="center"/>
    </xf>
    <xf numFmtId="0" fontId="0" fillId="0" borderId="3" xfId="0" applyBorder="1" applyProtection="1"/>
    <xf numFmtId="2" fontId="0" fillId="0" borderId="0" xfId="0" applyNumberFormat="1" applyFill="1" applyBorder="1" applyAlignment="1" applyProtection="1">
      <alignment horizontal="center"/>
    </xf>
    <xf numFmtId="165" fontId="0" fillId="0" borderId="0" xfId="0" applyNumberFormat="1" applyFill="1" applyBorder="1" applyAlignment="1" applyProtection="1">
      <alignment horizontal="center"/>
    </xf>
    <xf numFmtId="0" fontId="0" fillId="0" borderId="4" xfId="0" applyBorder="1" applyProtection="1"/>
    <xf numFmtId="0" fontId="0" fillId="0" borderId="0" xfId="0" applyBorder="1" applyProtection="1"/>
    <xf numFmtId="164" fontId="0" fillId="0" borderId="28" xfId="0" applyNumberFormat="1" applyBorder="1" applyAlignment="1" applyProtection="1">
      <alignment horizontal="center"/>
    </xf>
    <xf numFmtId="164" fontId="0" fillId="0" borderId="44" xfId="0" applyNumberFormat="1" applyBorder="1" applyAlignment="1" applyProtection="1">
      <alignment horizontal="center"/>
    </xf>
    <xf numFmtId="0" fontId="0" fillId="11" borderId="44" xfId="0" applyFill="1" applyBorder="1" applyProtection="1"/>
    <xf numFmtId="0" fontId="0" fillId="11" borderId="44" xfId="0" applyFill="1" applyBorder="1" applyAlignment="1" applyProtection="1">
      <alignment horizontal="center"/>
    </xf>
    <xf numFmtId="2" fontId="0" fillId="0" borderId="22" xfId="0" applyNumberFormat="1" applyBorder="1" applyAlignment="1" applyProtection="1">
      <alignment horizontal="center"/>
    </xf>
    <xf numFmtId="2" fontId="0" fillId="11" borderId="22" xfId="0" applyNumberFormat="1" applyFill="1" applyBorder="1" applyAlignment="1" applyProtection="1">
      <alignment horizontal="center"/>
    </xf>
    <xf numFmtId="2" fontId="0" fillId="0" borderId="20" xfId="0" applyNumberFormat="1" applyBorder="1" applyAlignment="1" applyProtection="1">
      <alignment horizontal="center"/>
    </xf>
    <xf numFmtId="2" fontId="0" fillId="11" borderId="20" xfId="0" applyNumberFormat="1" applyFill="1" applyBorder="1" applyAlignment="1" applyProtection="1">
      <alignment horizontal="center"/>
    </xf>
    <xf numFmtId="2" fontId="0" fillId="0" borderId="49" xfId="0" applyNumberFormat="1" applyBorder="1" applyAlignment="1" applyProtection="1">
      <alignment horizontal="center"/>
    </xf>
    <xf numFmtId="2" fontId="0" fillId="11" borderId="49" xfId="0" applyNumberFormat="1" applyFill="1" applyBorder="1" applyAlignment="1" applyProtection="1">
      <alignment horizontal="center"/>
    </xf>
    <xf numFmtId="0" fontId="0" fillId="0" borderId="27" xfId="0" applyBorder="1" applyProtection="1"/>
    <xf numFmtId="2" fontId="0" fillId="0" borderId="28" xfId="0" applyNumberFormat="1" applyBorder="1" applyAlignment="1" applyProtection="1">
      <alignment horizontal="center"/>
    </xf>
    <xf numFmtId="2" fontId="0" fillId="0" borderId="44" xfId="0" applyNumberForma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center"/>
    </xf>
    <xf numFmtId="2" fontId="0" fillId="0" borderId="6" xfId="0" applyNumberFormat="1" applyBorder="1" applyAlignment="1" applyProtection="1">
      <alignment horizontal="center"/>
    </xf>
    <xf numFmtId="2" fontId="0" fillId="0" borderId="2" xfId="0" applyNumberFormat="1" applyBorder="1" applyAlignment="1" applyProtection="1">
      <alignment horizontal="center"/>
    </xf>
    <xf numFmtId="2" fontId="0" fillId="0" borderId="5" xfId="0" applyNumberFormat="1" applyBorder="1" applyAlignment="1" applyProtection="1">
      <alignment horizontal="center"/>
    </xf>
    <xf numFmtId="2" fontId="0" fillId="0" borderId="3" xfId="0" applyNumberFormat="1" applyBorder="1" applyAlignment="1" applyProtection="1">
      <alignment horizontal="center"/>
    </xf>
    <xf numFmtId="2" fontId="0" fillId="0" borderId="56" xfId="0" applyNumberFormat="1" applyBorder="1" applyAlignment="1" applyProtection="1">
      <alignment horizontal="center"/>
    </xf>
    <xf numFmtId="2" fontId="0" fillId="0" borderId="60" xfId="0" applyNumberFormat="1" applyBorder="1" applyAlignment="1" applyProtection="1">
      <alignment horizontal="center"/>
    </xf>
    <xf numFmtId="2" fontId="0" fillId="0" borderId="43" xfId="0" applyNumberFormat="1" applyBorder="1" applyAlignment="1" applyProtection="1">
      <alignment horizontal="center"/>
    </xf>
    <xf numFmtId="2" fontId="0" fillId="4" borderId="28" xfId="0" applyNumberFormat="1" applyFill="1" applyBorder="1" applyAlignment="1" applyProtection="1">
      <alignment horizontal="center"/>
    </xf>
    <xf numFmtId="2" fontId="0" fillId="4" borderId="44" xfId="0" applyNumberFormat="1" applyFill="1" applyBorder="1" applyAlignment="1" applyProtection="1">
      <alignment horizontal="center"/>
    </xf>
    <xf numFmtId="2" fontId="0" fillId="4" borderId="23" xfId="0" applyNumberFormat="1" applyFill="1" applyBorder="1" applyAlignment="1" applyProtection="1">
      <alignment horizontal="center"/>
    </xf>
    <xf numFmtId="0" fontId="0" fillId="0" borderId="3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11" borderId="28" xfId="0" applyFill="1" applyBorder="1" applyAlignment="1" applyProtection="1">
      <alignment horizontal="left"/>
    </xf>
    <xf numFmtId="0" fontId="0" fillId="11" borderId="40" xfId="0" applyFill="1" applyBorder="1" applyAlignment="1" applyProtection="1">
      <alignment horizontal="left"/>
    </xf>
    <xf numFmtId="0" fontId="0" fillId="0" borderId="52" xfId="0" applyFill="1" applyBorder="1" applyAlignment="1" applyProtection="1">
      <alignment horizontal="center"/>
    </xf>
    <xf numFmtId="0" fontId="0" fillId="0" borderId="53" xfId="0" applyBorder="1" applyProtection="1"/>
    <xf numFmtId="0" fontId="0" fillId="0" borderId="50" xfId="0" applyFill="1" applyBorder="1" applyAlignment="1" applyProtection="1">
      <alignment horizontal="center"/>
    </xf>
    <xf numFmtId="0" fontId="0" fillId="0" borderId="51" xfId="0" applyBorder="1" applyProtection="1"/>
    <xf numFmtId="0" fontId="0" fillId="0" borderId="0" xfId="0" applyFill="1" applyAlignment="1" applyProtection="1">
      <alignment horizontal="center"/>
    </xf>
    <xf numFmtId="0" fontId="0" fillId="0" borderId="0" xfId="0" applyFill="1" applyProtection="1"/>
    <xf numFmtId="0" fontId="0" fillId="8" borderId="16" xfId="0" applyFill="1" applyBorder="1" applyProtection="1"/>
    <xf numFmtId="0" fontId="0" fillId="8" borderId="40" xfId="0" applyFill="1" applyBorder="1" applyProtection="1"/>
    <xf numFmtId="0" fontId="5" fillId="0" borderId="28" xfId="0" applyFont="1" applyFill="1" applyBorder="1" applyAlignment="1" applyProtection="1">
      <alignment horizontal="center"/>
    </xf>
    <xf numFmtId="0" fontId="0" fillId="0" borderId="44" xfId="0" applyFill="1" applyBorder="1" applyProtection="1"/>
    <xf numFmtId="0" fontId="0" fillId="0" borderId="23" xfId="0" applyFill="1" applyBorder="1" applyProtection="1"/>
    <xf numFmtId="0" fontId="0" fillId="11" borderId="19" xfId="0" applyFill="1" applyBorder="1" applyAlignment="1" applyProtection="1"/>
    <xf numFmtId="0" fontId="0" fillId="11" borderId="29" xfId="0" applyFill="1" applyBorder="1" applyAlignment="1" applyProtection="1"/>
    <xf numFmtId="0" fontId="0" fillId="11" borderId="30" xfId="0" applyFill="1" applyBorder="1" applyAlignment="1" applyProtection="1"/>
    <xf numFmtId="0" fontId="0" fillId="0" borderId="16" xfId="0" applyFill="1" applyBorder="1" applyProtection="1"/>
    <xf numFmtId="0" fontId="0" fillId="2" borderId="1" xfId="0" applyFill="1" applyBorder="1" applyAlignment="1" applyProtection="1">
      <alignment horizontal="center"/>
    </xf>
    <xf numFmtId="0" fontId="0" fillId="0" borderId="40" xfId="0" applyFill="1" applyBorder="1" applyProtection="1"/>
    <xf numFmtId="164" fontId="0" fillId="0" borderId="28" xfId="0" applyNumberFormat="1" applyFill="1" applyBorder="1" applyAlignment="1" applyProtection="1">
      <alignment horizontal="center"/>
    </xf>
    <xf numFmtId="164" fontId="0" fillId="0" borderId="44" xfId="0" applyNumberFormat="1" applyFill="1" applyBorder="1" applyAlignment="1" applyProtection="1">
      <alignment horizontal="center"/>
    </xf>
    <xf numFmtId="0" fontId="0" fillId="0" borderId="44" xfId="0" applyFill="1" applyBorder="1" applyAlignment="1" applyProtection="1">
      <alignment horizontal="center"/>
    </xf>
    <xf numFmtId="0" fontId="0" fillId="0" borderId="23" xfId="0" applyBorder="1" applyAlignment="1" applyProtection="1">
      <alignment horizontal="center"/>
    </xf>
    <xf numFmtId="164" fontId="0" fillId="0" borderId="55" xfId="0" applyNumberFormat="1" applyFill="1" applyBorder="1" applyAlignment="1" applyProtection="1">
      <alignment horizontal="center"/>
    </xf>
    <xf numFmtId="164" fontId="0" fillId="0" borderId="57" xfId="0" applyNumberFormat="1" applyFill="1" applyBorder="1" applyAlignment="1" applyProtection="1">
      <alignment horizontal="center"/>
    </xf>
    <xf numFmtId="2" fontId="0" fillId="0" borderId="57" xfId="0" applyNumberFormat="1" applyBorder="1" applyAlignment="1" applyProtection="1">
      <alignment horizontal="center"/>
    </xf>
    <xf numFmtId="2" fontId="0" fillId="0" borderId="58" xfId="0" applyNumberFormat="1" applyBorder="1" applyAlignment="1" applyProtection="1">
      <alignment horizontal="center"/>
    </xf>
    <xf numFmtId="164" fontId="0" fillId="0" borderId="50" xfId="0" applyNumberFormat="1" applyFill="1" applyBorder="1" applyAlignment="1" applyProtection="1">
      <alignment horizontal="center"/>
    </xf>
    <xf numFmtId="164" fontId="0" fillId="0" borderId="59" xfId="0" applyNumberFormat="1" applyFill="1" applyBorder="1" applyAlignment="1" applyProtection="1">
      <alignment horizontal="center"/>
    </xf>
    <xf numFmtId="2" fontId="0" fillId="0" borderId="59" xfId="0" applyNumberFormat="1" applyBorder="1" applyAlignment="1" applyProtection="1">
      <alignment horizontal="center"/>
    </xf>
    <xf numFmtId="2" fontId="0" fillId="0" borderId="51" xfId="0" applyNumberFormat="1" applyBorder="1" applyAlignment="1" applyProtection="1">
      <alignment horizontal="center"/>
    </xf>
    <xf numFmtId="164" fontId="0" fillId="11" borderId="16" xfId="0" applyNumberFormat="1" applyFill="1" applyBorder="1" applyAlignment="1" applyProtection="1">
      <alignment horizontal="left"/>
    </xf>
    <xf numFmtId="164" fontId="0" fillId="11" borderId="37" xfId="0" applyNumberFormat="1" applyFill="1" applyBorder="1" applyAlignment="1" applyProtection="1">
      <alignment horizontal="center"/>
    </xf>
    <xf numFmtId="2" fontId="0" fillId="11" borderId="37" xfId="0" applyNumberFormat="1" applyFill="1" applyBorder="1" applyAlignment="1" applyProtection="1">
      <alignment horizontal="center"/>
    </xf>
    <xf numFmtId="2" fontId="0" fillId="11" borderId="40" xfId="0" applyNumberFormat="1" applyFill="1" applyBorder="1" applyAlignment="1" applyProtection="1">
      <alignment horizontal="center"/>
    </xf>
    <xf numFmtId="164" fontId="0" fillId="0" borderId="23" xfId="0" applyNumberFormat="1" applyFill="1" applyBorder="1" applyAlignment="1" applyProtection="1">
      <alignment horizontal="center"/>
    </xf>
    <xf numFmtId="164" fontId="0" fillId="3" borderId="44" xfId="0" applyNumberFormat="1" applyFill="1" applyBorder="1" applyAlignment="1" applyProtection="1">
      <alignment horizontal="center"/>
    </xf>
    <xf numFmtId="164" fontId="0" fillId="0" borderId="23" xfId="0" applyNumberFormat="1" applyBorder="1" applyAlignment="1" applyProtection="1">
      <alignment horizontal="center"/>
    </xf>
    <xf numFmtId="2" fontId="0" fillId="0" borderId="5" xfId="0" applyNumberFormat="1" applyFill="1" applyBorder="1" applyAlignment="1" applyProtection="1">
      <alignment horizontal="center"/>
    </xf>
    <xf numFmtId="2" fontId="0" fillId="0" borderId="20" xfId="0" applyNumberFormat="1" applyFill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center"/>
    </xf>
    <xf numFmtId="2" fontId="0" fillId="0" borderId="4" xfId="0" applyNumberFormat="1" applyFill="1" applyBorder="1" applyAlignment="1" applyProtection="1">
      <alignment horizontal="center"/>
    </xf>
    <xf numFmtId="0" fontId="0" fillId="0" borderId="26" xfId="0" applyBorder="1" applyAlignment="1" applyProtection="1">
      <alignment horizontal="center"/>
    </xf>
    <xf numFmtId="0" fontId="0" fillId="0" borderId="42" xfId="0" applyBorder="1" applyAlignment="1" applyProtection="1">
      <alignment horizontal="center"/>
    </xf>
    <xf numFmtId="0" fontId="0" fillId="0" borderId="52" xfId="0" applyBorder="1" applyAlignment="1" applyProtection="1">
      <alignment horizontal="center"/>
    </xf>
    <xf numFmtId="0" fontId="0" fillId="0" borderId="27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2" fontId="0" fillId="0" borderId="35" xfId="0" applyNumberFormat="1" applyBorder="1" applyAlignment="1" applyProtection="1">
      <alignment horizontal="center"/>
    </xf>
    <xf numFmtId="1" fontId="0" fillId="0" borderId="61" xfId="0" applyNumberFormat="1" applyBorder="1" applyAlignment="1" applyProtection="1">
      <alignment horizontal="center"/>
    </xf>
    <xf numFmtId="2" fontId="0" fillId="0" borderId="36" xfId="0" applyNumberFormat="1" applyBorder="1" applyAlignment="1" applyProtection="1">
      <alignment horizontal="center"/>
    </xf>
    <xf numFmtId="0" fontId="0" fillId="0" borderId="40" xfId="0" applyBorder="1" applyProtection="1"/>
    <xf numFmtId="0" fontId="0" fillId="0" borderId="1" xfId="0" applyBorder="1" applyAlignment="1" applyProtection="1">
      <alignment horizontal="center"/>
    </xf>
    <xf numFmtId="0" fontId="0" fillId="0" borderId="45" xfId="0" applyBorder="1" applyAlignment="1" applyProtection="1">
      <alignment horizontal="center"/>
    </xf>
    <xf numFmtId="2" fontId="0" fillId="0" borderId="15" xfId="0" applyNumberFormat="1" applyBorder="1" applyAlignment="1" applyProtection="1">
      <alignment horizontal="center"/>
    </xf>
    <xf numFmtId="2" fontId="0" fillId="0" borderId="46" xfId="0" applyNumberFormat="1" applyBorder="1" applyAlignment="1" applyProtection="1">
      <alignment horizontal="center"/>
    </xf>
    <xf numFmtId="1" fontId="0" fillId="0" borderId="22" xfId="0" applyNumberFormat="1" applyBorder="1" applyAlignment="1" applyProtection="1">
      <alignment horizontal="center"/>
    </xf>
    <xf numFmtId="1" fontId="0" fillId="0" borderId="2" xfId="0" applyNumberFormat="1" applyBorder="1" applyAlignment="1" applyProtection="1">
      <alignment horizontal="center"/>
    </xf>
    <xf numFmtId="2" fontId="0" fillId="0" borderId="12" xfId="0" applyNumberFormat="1" applyBorder="1" applyAlignment="1" applyProtection="1">
      <alignment horizontal="center"/>
    </xf>
    <xf numFmtId="2" fontId="0" fillId="0" borderId="47" xfId="0" applyNumberFormat="1" applyBorder="1" applyAlignment="1" applyProtection="1">
      <alignment horizontal="center"/>
    </xf>
    <xf numFmtId="1" fontId="0" fillId="0" borderId="20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2" fontId="0" fillId="0" borderId="10" xfId="0" applyNumberFormat="1" applyBorder="1" applyAlignment="1" applyProtection="1">
      <alignment horizontal="center"/>
    </xf>
    <xf numFmtId="2" fontId="0" fillId="0" borderId="48" xfId="0" applyNumberFormat="1" applyBorder="1" applyAlignment="1" applyProtection="1">
      <alignment horizontal="center"/>
    </xf>
    <xf numFmtId="1" fontId="0" fillId="0" borderId="49" xfId="0" applyNumberFormat="1" applyBorder="1" applyAlignment="1" applyProtection="1">
      <alignment horizontal="center"/>
    </xf>
    <xf numFmtId="1" fontId="0" fillId="0" borderId="4" xfId="0" applyNumberFormat="1" applyBorder="1" applyAlignment="1" applyProtection="1">
      <alignment horizontal="center"/>
    </xf>
    <xf numFmtId="0" fontId="0" fillId="0" borderId="17" xfId="0" applyBorder="1" applyProtection="1"/>
    <xf numFmtId="0" fontId="0" fillId="0" borderId="25" xfId="0" applyBorder="1" applyProtection="1"/>
    <xf numFmtId="0" fontId="0" fillId="0" borderId="47" xfId="0" applyBorder="1" applyProtection="1"/>
    <xf numFmtId="0" fontId="0" fillId="0" borderId="48" xfId="0" applyBorder="1" applyProtection="1"/>
    <xf numFmtId="165" fontId="0" fillId="0" borderId="4" xfId="0" applyNumberFormat="1" applyBorder="1" applyAlignment="1" applyProtection="1">
      <alignment horizontal="center"/>
    </xf>
    <xf numFmtId="165" fontId="0" fillId="0" borderId="3" xfId="0" applyNumberFormat="1" applyBorder="1" applyAlignment="1" applyProtection="1">
      <alignment horizontal="center"/>
    </xf>
    <xf numFmtId="0" fontId="0" fillId="2" borderId="40" xfId="0" applyFill="1" applyBorder="1" applyAlignment="1" applyProtection="1">
      <alignment horizontal="center"/>
    </xf>
    <xf numFmtId="11" fontId="0" fillId="0" borderId="6" xfId="0" applyNumberFormat="1" applyBorder="1" applyAlignment="1" applyProtection="1">
      <alignment horizontal="center"/>
    </xf>
    <xf numFmtId="11" fontId="0" fillId="0" borderId="50" xfId="0" applyNumberFormat="1" applyBorder="1" applyAlignment="1" applyProtection="1">
      <alignment horizontal="center"/>
    </xf>
    <xf numFmtId="164" fontId="0" fillId="4" borderId="51" xfId="0" applyNumberFormat="1" applyFill="1" applyBorder="1" applyAlignment="1" applyProtection="1">
      <alignment horizontal="center"/>
    </xf>
    <xf numFmtId="11" fontId="0" fillId="0" borderId="26" xfId="0" applyNumberFormat="1" applyBorder="1" applyAlignment="1" applyProtection="1">
      <alignment horizontal="center"/>
    </xf>
    <xf numFmtId="165" fontId="0" fillId="0" borderId="62" xfId="0" applyNumberFormat="1" applyBorder="1" applyAlignment="1" applyProtection="1">
      <alignment horizontal="center"/>
    </xf>
    <xf numFmtId="164" fontId="0" fillId="4" borderId="27" xfId="0" applyNumberFormat="1" applyFill="1" applyBorder="1" applyAlignment="1" applyProtection="1">
      <alignment horizontal="center"/>
    </xf>
    <xf numFmtId="2" fontId="0" fillId="11" borderId="26" xfId="0" applyNumberFormat="1" applyFill="1" applyBorder="1" applyAlignment="1" applyProtection="1">
      <alignment horizontal="center"/>
    </xf>
    <xf numFmtId="2" fontId="0" fillId="11" borderId="27" xfId="0" applyNumberFormat="1" applyFill="1" applyBorder="1" applyAlignment="1" applyProtection="1">
      <alignment horizontal="center"/>
    </xf>
    <xf numFmtId="2" fontId="0" fillId="11" borderId="51" xfId="0" applyNumberFormat="1" applyFill="1" applyBorder="1" applyAlignment="1" applyProtection="1">
      <alignment horizontal="center"/>
    </xf>
    <xf numFmtId="164" fontId="0" fillId="0" borderId="0" xfId="0" applyNumberFormat="1" applyFill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164" fontId="0" fillId="10" borderId="0" xfId="0" applyNumberFormat="1" applyFill="1" applyBorder="1" applyAlignment="1" applyProtection="1">
      <alignment horizontal="center"/>
    </xf>
    <xf numFmtId="2" fontId="0" fillId="10" borderId="0" xfId="0" applyNumberFormat="1" applyFill="1" applyBorder="1" applyAlignment="1" applyProtection="1">
      <alignment horizontal="center"/>
    </xf>
    <xf numFmtId="164" fontId="0" fillId="4" borderId="16" xfId="0" applyNumberFormat="1" applyFill="1" applyBorder="1" applyAlignment="1" applyProtection="1">
      <alignment horizontal="center" vertical="center"/>
    </xf>
    <xf numFmtId="2" fontId="0" fillId="0" borderId="62" xfId="0" applyNumberFormat="1" applyBorder="1" applyAlignment="1" applyProtection="1">
      <alignment horizontal="center"/>
    </xf>
    <xf numFmtId="2" fontId="0" fillId="0" borderId="27" xfId="0" applyNumberFormat="1" applyBorder="1" applyAlignment="1" applyProtection="1">
      <alignment horizontal="center"/>
    </xf>
    <xf numFmtId="164" fontId="0" fillId="3" borderId="16" xfId="0" applyNumberFormat="1" applyFill="1" applyBorder="1" applyAlignment="1" applyProtection="1">
      <alignment horizontal="center" vertical="center"/>
    </xf>
    <xf numFmtId="164" fontId="0" fillId="3" borderId="16" xfId="0" applyNumberFormat="1" applyFill="1" applyBorder="1" applyAlignment="1" applyProtection="1">
      <alignment vertical="center"/>
    </xf>
    <xf numFmtId="2" fontId="0" fillId="2" borderId="37" xfId="0" applyNumberFormat="1" applyFill="1" applyBorder="1" applyAlignment="1" applyProtection="1">
      <alignment horizontal="center"/>
    </xf>
    <xf numFmtId="0" fontId="5" fillId="10" borderId="0" xfId="0" applyFont="1" applyFill="1" applyBorder="1" applyAlignment="1" applyProtection="1">
      <alignment horizontal="center"/>
    </xf>
    <xf numFmtId="0" fontId="0" fillId="10" borderId="0" xfId="0" applyFill="1" applyBorder="1" applyProtection="1"/>
    <xf numFmtId="164" fontId="5" fillId="6" borderId="19" xfId="0" applyNumberFormat="1" applyFont="1" applyFill="1" applyBorder="1" applyAlignment="1" applyProtection="1">
      <alignment horizontal="left" vertical="center"/>
    </xf>
    <xf numFmtId="164" fontId="0" fillId="6" borderId="29" xfId="0" applyNumberFormat="1" applyFill="1" applyBorder="1" applyAlignment="1" applyProtection="1">
      <alignment horizontal="center"/>
    </xf>
    <xf numFmtId="164" fontId="0" fillId="8" borderId="29" xfId="0" applyNumberFormat="1" applyFill="1" applyBorder="1" applyAlignment="1" applyProtection="1">
      <alignment horizontal="left" vertical="center"/>
    </xf>
    <xf numFmtId="164" fontId="0" fillId="8" borderId="29" xfId="0" applyNumberFormat="1" applyFill="1" applyBorder="1" applyAlignment="1" applyProtection="1">
      <alignment horizontal="center"/>
    </xf>
    <xf numFmtId="164" fontId="0" fillId="8" borderId="30" xfId="0" applyNumberFormat="1" applyFill="1" applyBorder="1" applyAlignment="1" applyProtection="1">
      <alignment horizontal="center"/>
    </xf>
    <xf numFmtId="164" fontId="0" fillId="0" borderId="52" xfId="0" applyNumberFormat="1" applyFill="1" applyBorder="1" applyAlignment="1" applyProtection="1">
      <alignment horizontal="center"/>
    </xf>
    <xf numFmtId="164" fontId="0" fillId="0" borderId="54" xfId="0" applyNumberFormat="1" applyFill="1" applyBorder="1" applyAlignment="1" applyProtection="1">
      <alignment horizontal="center"/>
    </xf>
    <xf numFmtId="2" fontId="0" fillId="0" borderId="54" xfId="0" applyNumberFormat="1" applyBorder="1" applyAlignment="1" applyProtection="1">
      <alignment horizontal="center"/>
    </xf>
    <xf numFmtId="2" fontId="0" fillId="0" borderId="53" xfId="0" applyNumberFormat="1" applyBorder="1" applyAlignment="1" applyProtection="1">
      <alignment horizontal="center"/>
    </xf>
    <xf numFmtId="0" fontId="11" fillId="7" borderId="0" xfId="0" applyFont="1" applyFill="1" applyProtection="1"/>
    <xf numFmtId="0" fontId="8" fillId="0" borderId="0" xfId="0" applyFont="1" applyBorder="1" applyAlignment="1" applyProtection="1">
      <alignment horizontal="center" vertical="center" wrapText="1"/>
    </xf>
    <xf numFmtId="1" fontId="0" fillId="0" borderId="0" xfId="0" applyNumberFormat="1" applyBorder="1" applyProtection="1"/>
    <xf numFmtId="0" fontId="8" fillId="7" borderId="0" xfId="0" applyFont="1" applyFill="1" applyBorder="1" applyAlignment="1" applyProtection="1">
      <alignment horizontal="center" vertical="center" wrapText="1"/>
    </xf>
    <xf numFmtId="0" fontId="0" fillId="7" borderId="0" xfId="0" applyFill="1" applyBorder="1" applyProtection="1"/>
    <xf numFmtId="1" fontId="0" fillId="7" borderId="0" xfId="0" applyNumberFormat="1" applyFill="1" applyBorder="1" applyProtection="1"/>
    <xf numFmtId="0" fontId="0" fillId="7" borderId="0" xfId="0" applyFill="1" applyProtection="1"/>
    <xf numFmtId="2" fontId="0" fillId="0" borderId="20" xfId="0" applyNumberFormat="1" applyBorder="1" applyAlignment="1">
      <alignment horizontal="center"/>
    </xf>
    <xf numFmtId="2" fontId="0" fillId="0" borderId="49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15" xfId="0" applyBorder="1"/>
    <xf numFmtId="0" fontId="0" fillId="0" borderId="12" xfId="0" applyBorder="1"/>
    <xf numFmtId="0" fontId="0" fillId="0" borderId="10" xfId="0" applyBorder="1"/>
    <xf numFmtId="0" fontId="0" fillId="0" borderId="0" xfId="0" applyBorder="1" applyAlignment="1"/>
    <xf numFmtId="0" fontId="0" fillId="0" borderId="37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12" borderId="16" xfId="0" applyFill="1" applyBorder="1" applyAlignment="1" applyProtection="1">
      <alignment horizontal="center"/>
    </xf>
    <xf numFmtId="0" fontId="0" fillId="12" borderId="17" xfId="0" applyFill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/>
    </xf>
    <xf numFmtId="2" fontId="0" fillId="0" borderId="50" xfId="0" applyNumberFormat="1" applyBorder="1" applyAlignment="1" applyProtection="1">
      <alignment horizontal="center"/>
    </xf>
    <xf numFmtId="0" fontId="0" fillId="0" borderId="25" xfId="0" applyFill="1" applyBorder="1" applyAlignment="1" applyProtection="1">
      <alignment horizontal="center" vertical="center"/>
    </xf>
    <xf numFmtId="2" fontId="0" fillId="0" borderId="29" xfId="0" applyNumberFormat="1" applyBorder="1" applyAlignment="1" applyProtection="1">
      <alignment horizontal="center"/>
    </xf>
    <xf numFmtId="2" fontId="0" fillId="0" borderId="33" xfId="0" applyNumberFormat="1" applyBorder="1" applyAlignment="1" applyProtection="1">
      <alignment horizontal="center"/>
    </xf>
    <xf numFmtId="165" fontId="12" fillId="0" borderId="0" xfId="0" applyNumberFormat="1" applyFon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0" fillId="0" borderId="63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2" fillId="0" borderId="37" xfId="0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17" xfId="0" applyFont="1" applyFill="1" applyBorder="1" applyAlignment="1">
      <alignment horizontal="center"/>
    </xf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2" fontId="0" fillId="0" borderId="69" xfId="0" applyNumberFormat="1" applyFill="1" applyBorder="1" applyAlignment="1">
      <alignment horizontal="center"/>
    </xf>
    <xf numFmtId="2" fontId="0" fillId="0" borderId="70" xfId="0" applyNumberFormat="1" applyFill="1" applyBorder="1" applyAlignment="1">
      <alignment horizontal="center"/>
    </xf>
    <xf numFmtId="0" fontId="0" fillId="0" borderId="71" xfId="0" applyBorder="1"/>
    <xf numFmtId="0" fontId="0" fillId="2" borderId="72" xfId="0" applyFill="1" applyBorder="1"/>
    <xf numFmtId="0" fontId="0" fillId="2" borderId="67" xfId="0" applyFill="1" applyBorder="1"/>
    <xf numFmtId="0" fontId="0" fillId="0" borderId="73" xfId="0" applyBorder="1"/>
    <xf numFmtId="0" fontId="0" fillId="2" borderId="74" xfId="0" applyFill="1" applyBorder="1"/>
    <xf numFmtId="164" fontId="0" fillId="3" borderId="75" xfId="0" applyNumberFormat="1" applyFill="1" applyBorder="1" applyAlignment="1">
      <alignment horizontal="center"/>
    </xf>
    <xf numFmtId="165" fontId="0" fillId="0" borderId="73" xfId="0" applyNumberFormat="1" applyFill="1" applyBorder="1" applyAlignment="1">
      <alignment horizontal="center"/>
    </xf>
    <xf numFmtId="0" fontId="0" fillId="2" borderId="68" xfId="0" applyFill="1" applyBorder="1"/>
    <xf numFmtId="0" fontId="0" fillId="2" borderId="76" xfId="0" applyFill="1" applyBorder="1"/>
    <xf numFmtId="165" fontId="0" fillId="0" borderId="77" xfId="0" applyNumberFormat="1" applyFill="1" applyBorder="1" applyAlignment="1">
      <alignment horizontal="center"/>
    </xf>
    <xf numFmtId="0" fontId="0" fillId="0" borderId="78" xfId="0" applyBorder="1"/>
    <xf numFmtId="0" fontId="0" fillId="4" borderId="79" xfId="0" applyFill="1" applyBorder="1" applyAlignment="1">
      <alignment horizontal="center"/>
    </xf>
    <xf numFmtId="0" fontId="0" fillId="2" borderId="80" xfId="0" applyFill="1" applyBorder="1"/>
    <xf numFmtId="164" fontId="0" fillId="3" borderId="81" xfId="0" applyNumberFormat="1" applyFill="1" applyBorder="1" applyAlignment="1">
      <alignment horizontal="center"/>
    </xf>
    <xf numFmtId="0" fontId="0" fillId="0" borderId="73" xfId="0" applyFill="1" applyBorder="1" applyAlignment="1">
      <alignment horizontal="center"/>
    </xf>
    <xf numFmtId="0" fontId="0" fillId="0" borderId="74" xfId="0" applyFill="1" applyBorder="1"/>
    <xf numFmtId="164" fontId="0" fillId="0" borderId="75" xfId="0" applyNumberFormat="1" applyFill="1" applyBorder="1" applyAlignment="1">
      <alignment horizontal="center"/>
    </xf>
    <xf numFmtId="0" fontId="0" fillId="0" borderId="77" xfId="0" applyFill="1" applyBorder="1" applyAlignment="1">
      <alignment horizontal="center"/>
    </xf>
    <xf numFmtId="0" fontId="0" fillId="0" borderId="80" xfId="0" applyBorder="1"/>
    <xf numFmtId="0" fontId="0" fillId="4" borderId="81" xfId="0" applyFill="1" applyBorder="1" applyAlignment="1">
      <alignment horizontal="center"/>
    </xf>
    <xf numFmtId="0" fontId="0" fillId="0" borderId="82" xfId="0" applyFill="1" applyBorder="1"/>
    <xf numFmtId="164" fontId="0" fillId="0" borderId="83" xfId="0" applyNumberFormat="1" applyFill="1" applyBorder="1" applyAlignment="1">
      <alignment horizontal="center"/>
    </xf>
    <xf numFmtId="0" fontId="0" fillId="0" borderId="77" xfId="0" applyBorder="1"/>
    <xf numFmtId="0" fontId="0" fillId="0" borderId="67" xfId="0" applyBorder="1"/>
    <xf numFmtId="2" fontId="0" fillId="3" borderId="67" xfId="0" applyNumberFormat="1" applyFill="1" applyBorder="1" applyAlignment="1">
      <alignment horizontal="center"/>
    </xf>
    <xf numFmtId="0" fontId="0" fillId="0" borderId="84" xfId="0" applyFill="1" applyBorder="1"/>
    <xf numFmtId="164" fontId="0" fillId="0" borderId="85" xfId="0" applyNumberFormat="1" applyFill="1" applyBorder="1" applyAlignment="1">
      <alignment horizontal="center"/>
    </xf>
    <xf numFmtId="0" fontId="0" fillId="0" borderId="72" xfId="0" applyBorder="1"/>
    <xf numFmtId="164" fontId="0" fillId="3" borderId="67" xfId="0" applyNumberFormat="1" applyFill="1" applyBorder="1" applyAlignment="1">
      <alignment horizontal="center"/>
    </xf>
    <xf numFmtId="0" fontId="0" fillId="0" borderId="74" xfId="0" applyBorder="1"/>
    <xf numFmtId="0" fontId="0" fillId="4" borderId="75" xfId="0" applyFill="1" applyBorder="1" applyAlignment="1">
      <alignment horizontal="center"/>
    </xf>
    <xf numFmtId="0" fontId="0" fillId="0" borderId="82" xfId="0" applyBorder="1"/>
    <xf numFmtId="0" fontId="0" fillId="4" borderId="83" xfId="0" applyFill="1" applyBorder="1" applyAlignment="1">
      <alignment horizontal="center"/>
    </xf>
    <xf numFmtId="0" fontId="0" fillId="0" borderId="89" xfId="0" applyBorder="1"/>
    <xf numFmtId="0" fontId="0" fillId="0" borderId="90" xfId="0" applyBorder="1"/>
    <xf numFmtId="0" fontId="0" fillId="0" borderId="91" xfId="0" applyBorder="1"/>
    <xf numFmtId="0" fontId="0" fillId="0" borderId="92" xfId="0" applyBorder="1" applyAlignment="1">
      <alignment horizontal="center"/>
    </xf>
    <xf numFmtId="0" fontId="0" fillId="0" borderId="93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84" xfId="0" applyBorder="1"/>
    <xf numFmtId="0" fontId="0" fillId="4" borderId="85" xfId="0" applyFill="1" applyBorder="1" applyAlignment="1">
      <alignment horizontal="center"/>
    </xf>
    <xf numFmtId="0" fontId="0" fillId="0" borderId="92" xfId="0" applyBorder="1"/>
    <xf numFmtId="0" fontId="0" fillId="3" borderId="75" xfId="0" applyFill="1" applyBorder="1" applyAlignment="1">
      <alignment horizontal="center"/>
    </xf>
    <xf numFmtId="164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165" fontId="0" fillId="3" borderId="75" xfId="0" applyNumberFormat="1" applyFill="1" applyBorder="1" applyAlignment="1">
      <alignment horizontal="center"/>
    </xf>
    <xf numFmtId="2" fontId="0" fillId="3" borderId="83" xfId="0" applyNumberFormat="1" applyFill="1" applyBorder="1" applyAlignment="1">
      <alignment horizontal="center"/>
    </xf>
    <xf numFmtId="0" fontId="0" fillId="3" borderId="81" xfId="0" applyFill="1" applyBorder="1" applyAlignment="1">
      <alignment horizontal="center"/>
    </xf>
    <xf numFmtId="2" fontId="0" fillId="3" borderId="81" xfId="0" applyNumberFormat="1" applyFill="1" applyBorder="1" applyAlignment="1">
      <alignment horizontal="center"/>
    </xf>
    <xf numFmtId="0" fontId="0" fillId="2" borderId="67" xfId="0" applyFill="1" applyBorder="1" applyAlignment="1">
      <alignment horizontal="center"/>
    </xf>
    <xf numFmtId="0" fontId="0" fillId="3" borderId="67" xfId="0" applyFill="1" applyBorder="1" applyAlignment="1">
      <alignment horizontal="center"/>
    </xf>
    <xf numFmtId="164" fontId="0" fillId="3" borderId="83" xfId="0" applyNumberFormat="1" applyFill="1" applyBorder="1" applyAlignment="1">
      <alignment horizontal="center"/>
    </xf>
    <xf numFmtId="0" fontId="0" fillId="0" borderId="73" xfId="0" applyFill="1" applyBorder="1"/>
    <xf numFmtId="164" fontId="0" fillId="4" borderId="75" xfId="0" applyNumberFormat="1" applyFill="1" applyBorder="1" applyAlignment="1">
      <alignment horizontal="center"/>
    </xf>
    <xf numFmtId="0" fontId="0" fillId="0" borderId="95" xfId="0" applyBorder="1" applyAlignment="1">
      <alignment horizontal="center"/>
    </xf>
    <xf numFmtId="2" fontId="0" fillId="0" borderId="96" xfId="0" applyNumberFormat="1" applyBorder="1" applyAlignment="1">
      <alignment horizontal="center"/>
    </xf>
    <xf numFmtId="164" fontId="0" fillId="4" borderId="83" xfId="0" applyNumberFormat="1" applyFill="1" applyBorder="1" applyAlignment="1">
      <alignment horizontal="center"/>
    </xf>
    <xf numFmtId="2" fontId="0" fillId="4" borderId="85" xfId="0" applyNumberFormat="1" applyFill="1" applyBorder="1" applyAlignment="1">
      <alignment horizontal="center"/>
    </xf>
    <xf numFmtId="0" fontId="0" fillId="0" borderId="97" xfId="0" applyBorder="1" applyAlignment="1">
      <alignment horizontal="left"/>
    </xf>
    <xf numFmtId="0" fontId="0" fillId="0" borderId="98" xfId="0" applyBorder="1" applyAlignment="1">
      <alignment horizontal="left"/>
    </xf>
    <xf numFmtId="2" fontId="0" fillId="3" borderId="75" xfId="0" applyNumberFormat="1" applyFill="1" applyBorder="1" applyAlignment="1">
      <alignment horizontal="center"/>
    </xf>
    <xf numFmtId="0" fontId="0" fillId="0" borderId="95" xfId="0" applyBorder="1" applyAlignment="1">
      <alignment horizontal="left"/>
    </xf>
    <xf numFmtId="0" fontId="0" fillId="0" borderId="96" xfId="0" applyBorder="1" applyAlignment="1">
      <alignment horizontal="left"/>
    </xf>
    <xf numFmtId="0" fontId="0" fillId="2" borderId="86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164" fontId="0" fillId="3" borderId="85" xfId="0" applyNumberFormat="1" applyFill="1" applyBorder="1" applyAlignment="1">
      <alignment horizontal="center"/>
    </xf>
    <xf numFmtId="0" fontId="0" fillId="0" borderId="72" xfId="0" applyFill="1" applyBorder="1"/>
    <xf numFmtId="0" fontId="0" fillId="0" borderId="99" xfId="0" applyBorder="1"/>
    <xf numFmtId="0" fontId="0" fillId="3" borderId="99" xfId="0" applyFill="1" applyBorder="1" applyAlignment="1">
      <alignment horizontal="center"/>
    </xf>
    <xf numFmtId="0" fontId="0" fillId="0" borderId="99" xfId="0" applyFill="1" applyBorder="1"/>
    <xf numFmtId="164" fontId="0" fillId="3" borderId="99" xfId="0" applyNumberFormat="1" applyFill="1" applyBorder="1" applyAlignment="1">
      <alignment horizontal="center"/>
    </xf>
    <xf numFmtId="0" fontId="0" fillId="0" borderId="100" xfId="0" applyBorder="1"/>
    <xf numFmtId="0" fontId="0" fillId="0" borderId="101" xfId="0" applyBorder="1"/>
    <xf numFmtId="0" fontId="0" fillId="0" borderId="9" xfId="0" applyBorder="1"/>
    <xf numFmtId="0" fontId="0" fillId="0" borderId="1" xfId="0" applyBorder="1" applyAlignment="1">
      <alignment horizontal="center" vertical="center" wrapText="1"/>
    </xf>
    <xf numFmtId="0" fontId="0" fillId="0" borderId="15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2" fontId="0" fillId="0" borderId="13" xfId="0" applyNumberFormat="1" applyFill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40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63" xfId="0" applyFont="1" applyBorder="1" applyAlignment="1">
      <alignment horizontal="center" vertical="center" wrapText="1"/>
    </xf>
    <xf numFmtId="0" fontId="12" fillId="0" borderId="44" xfId="0" applyFont="1" applyBorder="1" applyAlignment="1">
      <alignment horizontal="center" vertical="center" wrapText="1"/>
    </xf>
    <xf numFmtId="0" fontId="12" fillId="0" borderId="45" xfId="0" applyFont="1" applyBorder="1" applyAlignment="1">
      <alignment horizontal="center" vertical="center" wrapText="1"/>
    </xf>
    <xf numFmtId="0" fontId="12" fillId="0" borderId="16" xfId="0" applyFont="1" applyBorder="1" applyAlignment="1">
      <alignment horizontal="center" vertical="center" wrapText="1"/>
    </xf>
    <xf numFmtId="2" fontId="0" fillId="0" borderId="62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0" fontId="12" fillId="0" borderId="23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0" borderId="15" xfId="0" applyFont="1" applyBorder="1" applyAlignment="1">
      <alignment horizontal="center"/>
    </xf>
    <xf numFmtId="0" fontId="14" fillId="7" borderId="1" xfId="0" applyFont="1" applyFill="1" applyBorder="1" applyAlignment="1" applyProtection="1">
      <alignment horizontal="center" vertical="center"/>
      <protection locked="0"/>
    </xf>
    <xf numFmtId="0" fontId="14" fillId="7" borderId="41" xfId="0" applyFont="1" applyFill="1" applyBorder="1" applyAlignment="1" applyProtection="1">
      <alignment horizontal="center" vertical="center"/>
      <protection locked="0"/>
    </xf>
    <xf numFmtId="0" fontId="14" fillId="7" borderId="17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Alignment="1">
      <alignment horizontal="center"/>
    </xf>
    <xf numFmtId="166" fontId="0" fillId="0" borderId="65" xfId="0" applyNumberFormat="1" applyBorder="1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2" fillId="0" borderId="26" xfId="0" applyFont="1" applyBorder="1"/>
    <xf numFmtId="0" fontId="2" fillId="0" borderId="21" xfId="0" applyFont="1" applyBorder="1"/>
    <xf numFmtId="0" fontId="12" fillId="0" borderId="61" xfId="0" applyFont="1" applyBorder="1" applyAlignment="1">
      <alignment horizontal="center"/>
    </xf>
    <xf numFmtId="0" fontId="12" fillId="14" borderId="16" xfId="0" applyFont="1" applyFill="1" applyBorder="1" applyAlignment="1">
      <alignment horizontal="center" vertical="center"/>
    </xf>
    <xf numFmtId="0" fontId="5" fillId="0" borderId="40" xfId="0" applyFont="1" applyBorder="1" applyAlignment="1">
      <alignment horizontal="center" vertical="center"/>
    </xf>
    <xf numFmtId="0" fontId="0" fillId="0" borderId="0" xfId="0" applyBorder="1" applyAlignment="1"/>
    <xf numFmtId="0" fontId="0" fillId="13" borderId="28" xfId="0" applyFill="1" applyBorder="1" applyAlignment="1" applyProtection="1">
      <alignment horizontal="center"/>
      <protection locked="0"/>
    </xf>
    <xf numFmtId="0" fontId="12" fillId="0" borderId="11" xfId="0" applyFont="1" applyBorder="1" applyAlignment="1">
      <alignment horizontal="center"/>
    </xf>
    <xf numFmtId="166" fontId="0" fillId="0" borderId="104" xfId="0" applyNumberForma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29" xfId="0" applyFont="1" applyBorder="1" applyAlignment="1">
      <alignment horizontal="center"/>
    </xf>
    <xf numFmtId="2" fontId="0" fillId="18" borderId="62" xfId="0" applyNumberFormat="1" applyFill="1" applyBorder="1" applyAlignment="1" applyProtection="1">
      <alignment horizontal="center"/>
      <protection locked="0"/>
    </xf>
    <xf numFmtId="0" fontId="0" fillId="18" borderId="27" xfId="0" applyFill="1" applyBorder="1" applyAlignment="1" applyProtection="1">
      <alignment horizontal="center"/>
      <protection locked="0"/>
    </xf>
    <xf numFmtId="0" fontId="0" fillId="18" borderId="9" xfId="0" applyFill="1" applyBorder="1" applyAlignment="1" applyProtection="1">
      <alignment horizontal="center"/>
      <protection locked="0"/>
    </xf>
    <xf numFmtId="0" fontId="0" fillId="18" borderId="6" xfId="0" applyFill="1" applyBorder="1" applyAlignment="1" applyProtection="1">
      <alignment horizontal="center"/>
      <protection locked="0"/>
    </xf>
    <xf numFmtId="2" fontId="0" fillId="18" borderId="22" xfId="0" applyNumberFormat="1" applyFill="1" applyBorder="1" applyAlignment="1" applyProtection="1">
      <alignment horizontal="center"/>
      <protection locked="0"/>
    </xf>
    <xf numFmtId="0" fontId="0" fillId="18" borderId="2" xfId="0" applyFill="1" applyBorder="1" applyAlignment="1" applyProtection="1">
      <alignment horizontal="center"/>
      <protection locked="0"/>
    </xf>
    <xf numFmtId="0" fontId="0" fillId="18" borderId="47" xfId="0" applyFill="1" applyBorder="1" applyAlignment="1" applyProtection="1">
      <alignment horizontal="center"/>
      <protection locked="0"/>
    </xf>
    <xf numFmtId="2" fontId="0" fillId="18" borderId="20" xfId="0" applyNumberFormat="1" applyFill="1" applyBorder="1" applyAlignment="1" applyProtection="1">
      <alignment horizontal="center"/>
      <protection locked="0"/>
    </xf>
    <xf numFmtId="0" fontId="0" fillId="18" borderId="3" xfId="0" applyFill="1" applyBorder="1" applyAlignment="1" applyProtection="1">
      <alignment horizontal="center"/>
      <protection locked="0"/>
    </xf>
    <xf numFmtId="0" fontId="0" fillId="18" borderId="15" xfId="0" applyFill="1" applyBorder="1" applyAlignment="1" applyProtection="1">
      <alignment horizontal="center"/>
      <protection locked="0"/>
    </xf>
    <xf numFmtId="166" fontId="0" fillId="18" borderId="65" xfId="0" applyNumberFormat="1" applyFill="1" applyBorder="1" applyAlignment="1" applyProtection="1">
      <alignment horizontal="center"/>
      <protection locked="0"/>
    </xf>
    <xf numFmtId="0" fontId="0" fillId="18" borderId="5" xfId="0" applyFill="1" applyBorder="1" applyAlignment="1" applyProtection="1">
      <alignment horizontal="center"/>
      <protection locked="0"/>
    </xf>
    <xf numFmtId="0" fontId="0" fillId="18" borderId="12" xfId="0" applyFill="1" applyBorder="1" applyAlignment="1" applyProtection="1">
      <alignment horizontal="center"/>
      <protection locked="0"/>
    </xf>
    <xf numFmtId="0" fontId="0" fillId="18" borderId="4" xfId="0" applyFill="1" applyBorder="1" applyAlignment="1" applyProtection="1">
      <alignment horizontal="center"/>
      <protection locked="0"/>
    </xf>
    <xf numFmtId="0" fontId="0" fillId="18" borderId="46" xfId="0" applyFill="1" applyBorder="1" applyAlignment="1" applyProtection="1">
      <alignment horizontal="center"/>
      <protection locked="0"/>
    </xf>
    <xf numFmtId="0" fontId="0" fillId="18" borderId="22" xfId="0" applyFill="1" applyBorder="1" applyAlignment="1" applyProtection="1">
      <alignment horizontal="center"/>
      <protection locked="0"/>
    </xf>
    <xf numFmtId="0" fontId="0" fillId="18" borderId="20" xfId="0" applyFill="1" applyBorder="1" applyAlignment="1" applyProtection="1">
      <alignment horizontal="center"/>
      <protection locked="0"/>
    </xf>
    <xf numFmtId="0" fontId="0" fillId="18" borderId="3" xfId="0" applyFill="1" applyBorder="1" applyAlignment="1" applyProtection="1">
      <protection locked="0"/>
    </xf>
    <xf numFmtId="0" fontId="0" fillId="19" borderId="1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0" fillId="19" borderId="40" xfId="0" applyFill="1" applyBorder="1" applyAlignment="1">
      <alignment horizontal="center"/>
    </xf>
    <xf numFmtId="0" fontId="5" fillId="15" borderId="1" xfId="0" applyFont="1" applyFill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63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19" borderId="37" xfId="0" applyFill="1" applyBorder="1" applyAlignment="1">
      <alignment horizontal="center" vertical="center"/>
    </xf>
    <xf numFmtId="0" fontId="13" fillId="0" borderId="1" xfId="0" applyFont="1" applyBorder="1" applyAlignment="1" applyProtection="1">
      <alignment vertical="center"/>
    </xf>
    <xf numFmtId="0" fontId="14" fillId="0" borderId="17" xfId="0" applyFont="1" applyFill="1" applyBorder="1" applyAlignment="1" applyProtection="1">
      <alignment horizontal="center" vertical="center"/>
    </xf>
    <xf numFmtId="0" fontId="14" fillId="0" borderId="1" xfId="0" applyFont="1" applyBorder="1" applyAlignment="1" applyProtection="1">
      <alignment horizontal="center" vertical="center"/>
    </xf>
    <xf numFmtId="0" fontId="14" fillId="0" borderId="41" xfId="0" applyFont="1" applyFill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 wrapText="1"/>
    </xf>
    <xf numFmtId="0" fontId="13" fillId="0" borderId="17" xfId="0" applyFont="1" applyBorder="1" applyAlignment="1" applyProtection="1">
      <alignment vertical="center"/>
    </xf>
    <xf numFmtId="0" fontId="14" fillId="0" borderId="17" xfId="0" applyFont="1" applyBorder="1" applyAlignment="1" applyProtection="1">
      <alignment horizontal="center" vertical="center"/>
    </xf>
    <xf numFmtId="0" fontId="0" fillId="4" borderId="25" xfId="0" applyFill="1" applyBorder="1" applyAlignment="1" applyProtection="1">
      <alignment horizontal="center" vertical="center"/>
    </xf>
    <xf numFmtId="0" fontId="0" fillId="0" borderId="32" xfId="0" applyFill="1" applyBorder="1" applyAlignment="1" applyProtection="1">
      <alignment horizontal="center" vertical="center"/>
    </xf>
    <xf numFmtId="0" fontId="0" fillId="9" borderId="34" xfId="0" applyFill="1" applyBorder="1" applyAlignment="1" applyProtection="1">
      <alignment horizontal="center" vertical="center"/>
    </xf>
    <xf numFmtId="0" fontId="5" fillId="0" borderId="27" xfId="0" applyFont="1" applyFill="1" applyBorder="1" applyAlignment="1" applyProtection="1">
      <alignment horizontal="center" vertical="center"/>
    </xf>
    <xf numFmtId="0" fontId="5" fillId="17" borderId="27" xfId="0" applyFont="1" applyFill="1" applyBorder="1" applyAlignment="1" applyProtection="1">
      <alignment horizontal="center" vertical="center"/>
    </xf>
    <xf numFmtId="0" fontId="5" fillId="0" borderId="9" xfId="0" applyFont="1" applyFill="1" applyBorder="1" applyAlignment="1" applyProtection="1">
      <alignment horizontal="center" vertical="center"/>
    </xf>
    <xf numFmtId="0" fontId="5" fillId="0" borderId="17" xfId="0" applyFont="1" applyFill="1" applyBorder="1" applyAlignment="1" applyProtection="1">
      <alignment horizontal="center" vertical="center"/>
    </xf>
    <xf numFmtId="2" fontId="5" fillId="0" borderId="30" xfId="0" applyNumberFormat="1" applyFont="1" applyFill="1" applyBorder="1" applyAlignment="1" applyProtection="1">
      <alignment horizontal="center" vertical="center"/>
    </xf>
    <xf numFmtId="2" fontId="5" fillId="0" borderId="32" xfId="0" applyNumberFormat="1" applyFont="1" applyFill="1" applyBorder="1" applyAlignment="1" applyProtection="1">
      <alignment horizontal="center" vertical="center"/>
    </xf>
    <xf numFmtId="0" fontId="5" fillId="0" borderId="3" xfId="0" applyFont="1" applyFill="1" applyBorder="1" applyAlignment="1" applyProtection="1">
      <alignment horizontal="center" vertical="center"/>
    </xf>
    <xf numFmtId="0" fontId="5" fillId="17" borderId="3" xfId="0" applyFont="1" applyFill="1" applyBorder="1" applyAlignment="1" applyProtection="1">
      <alignment horizontal="center" vertical="center"/>
    </xf>
    <xf numFmtId="0" fontId="5" fillId="0" borderId="12" xfId="0" applyFont="1" applyFill="1" applyBorder="1" applyAlignment="1" applyProtection="1">
      <alignment horizontal="center" vertical="center"/>
    </xf>
    <xf numFmtId="0" fontId="5" fillId="0" borderId="41" xfId="0" applyFont="1" applyFill="1" applyBorder="1" applyAlignment="1" applyProtection="1">
      <alignment horizontal="center" vertical="center"/>
    </xf>
    <xf numFmtId="0" fontId="5" fillId="0" borderId="25" xfId="0" applyFont="1" applyFill="1" applyBorder="1" applyAlignment="1" applyProtection="1">
      <alignment horizontal="center" vertical="center"/>
    </xf>
    <xf numFmtId="0" fontId="5" fillId="0" borderId="34" xfId="0" applyFont="1" applyFill="1" applyBorder="1" applyAlignment="1" applyProtection="1">
      <alignment horizontal="center" vertical="center"/>
    </xf>
    <xf numFmtId="0" fontId="5" fillId="0" borderId="32" xfId="0" applyFont="1" applyFill="1" applyBorder="1" applyAlignment="1" applyProtection="1">
      <alignment horizontal="center" vertical="center"/>
    </xf>
    <xf numFmtId="0" fontId="5" fillId="0" borderId="4" xfId="0" applyFont="1" applyFill="1" applyBorder="1" applyAlignment="1" applyProtection="1">
      <alignment horizontal="center" vertical="center"/>
    </xf>
    <xf numFmtId="0" fontId="5" fillId="17" borderId="4" xfId="0" applyFont="1" applyFill="1" applyBorder="1" applyAlignment="1" applyProtection="1">
      <alignment horizontal="center" vertical="center"/>
    </xf>
    <xf numFmtId="0" fontId="5" fillId="0" borderId="10" xfId="0" applyFont="1" applyFill="1" applyBorder="1" applyAlignment="1" applyProtection="1">
      <alignment horizontal="center" vertical="center"/>
    </xf>
    <xf numFmtId="0" fontId="5" fillId="0" borderId="31" xfId="0" applyFont="1" applyFill="1" applyBorder="1" applyAlignment="1" applyProtection="1">
      <alignment horizontal="center" vertical="center"/>
    </xf>
    <xf numFmtId="0" fontId="5" fillId="0" borderId="0" xfId="0" applyFont="1" applyProtection="1"/>
    <xf numFmtId="0" fontId="0" fillId="4" borderId="17" xfId="0" applyFill="1" applyBorder="1" applyAlignment="1" applyProtection="1">
      <alignment horizontal="center" vertical="center"/>
    </xf>
    <xf numFmtId="2" fontId="5" fillId="0" borderId="0" xfId="0" applyNumberFormat="1" applyFont="1" applyFill="1" applyBorder="1" applyAlignment="1" applyProtection="1">
      <alignment horizontal="center" vertical="center"/>
    </xf>
    <xf numFmtId="0" fontId="0" fillId="9" borderId="17" xfId="0" applyFill="1" applyBorder="1" applyAlignment="1" applyProtection="1">
      <alignment horizontal="center" vertical="center"/>
    </xf>
    <xf numFmtId="0" fontId="0" fillId="0" borderId="31" xfId="0" applyFill="1" applyBorder="1" applyProtection="1"/>
    <xf numFmtId="2" fontId="5" fillId="0" borderId="9" xfId="0" applyNumberFormat="1" applyFont="1" applyFill="1" applyBorder="1" applyAlignment="1" applyProtection="1">
      <alignment horizontal="center"/>
    </xf>
    <xf numFmtId="2" fontId="5" fillId="0" borderId="27" xfId="0" applyNumberFormat="1" applyFont="1" applyFill="1" applyBorder="1" applyAlignment="1" applyProtection="1">
      <alignment horizontal="center"/>
    </xf>
    <xf numFmtId="2" fontId="5" fillId="17" borderId="27" xfId="0" applyNumberFormat="1" applyFont="1" applyFill="1" applyBorder="1" applyAlignment="1" applyProtection="1">
      <alignment horizontal="center"/>
    </xf>
    <xf numFmtId="0" fontId="0" fillId="9" borderId="25" xfId="0" applyFill="1" applyBorder="1" applyAlignment="1" applyProtection="1">
      <alignment horizontal="center" vertical="center"/>
    </xf>
    <xf numFmtId="0" fontId="5" fillId="0" borderId="19" xfId="0" applyFont="1" applyBorder="1" applyAlignment="1" applyProtection="1">
      <alignment vertical="center"/>
    </xf>
    <xf numFmtId="0" fontId="5" fillId="0" borderId="29" xfId="0" applyFont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2" fontId="5" fillId="0" borderId="1" xfId="0" applyNumberFormat="1" applyFont="1" applyFill="1" applyBorder="1" applyAlignment="1" applyProtection="1">
      <alignment horizontal="center"/>
    </xf>
    <xf numFmtId="164" fontId="5" fillId="0" borderId="25" xfId="0" applyNumberFormat="1" applyFont="1" applyFill="1" applyBorder="1" applyAlignment="1" applyProtection="1">
      <alignment horizontal="center"/>
    </xf>
    <xf numFmtId="164" fontId="5" fillId="17" borderId="25" xfId="0" applyNumberFormat="1" applyFont="1" applyFill="1" applyBorder="1" applyAlignment="1" applyProtection="1">
      <alignment horizontal="center"/>
    </xf>
    <xf numFmtId="164" fontId="5" fillId="0" borderId="40" xfId="0" applyNumberFormat="1" applyFont="1" applyFill="1" applyBorder="1" applyAlignment="1" applyProtection="1">
      <alignment horizontal="center"/>
    </xf>
    <xf numFmtId="2" fontId="5" fillId="0" borderId="27" xfId="0" applyNumberFormat="1" applyFont="1" applyFill="1" applyBorder="1" applyAlignment="1" applyProtection="1">
      <alignment horizontal="center" vertical="center"/>
    </xf>
    <xf numFmtId="2" fontId="5" fillId="0" borderId="3" xfId="0" applyNumberFormat="1" applyFont="1" applyFill="1" applyBorder="1" applyAlignment="1" applyProtection="1">
      <alignment horizontal="center" vertical="center"/>
    </xf>
    <xf numFmtId="2" fontId="5" fillId="0" borderId="10" xfId="0" applyNumberFormat="1" applyFont="1" applyFill="1" applyBorder="1" applyAlignment="1" applyProtection="1">
      <alignment horizontal="center"/>
    </xf>
    <xf numFmtId="2" fontId="5" fillId="17" borderId="10" xfId="0" applyNumberFormat="1" applyFont="1" applyFill="1" applyBorder="1" applyAlignment="1" applyProtection="1">
      <alignment horizontal="center"/>
    </xf>
    <xf numFmtId="2" fontId="5" fillId="0" borderId="4" xfId="0" applyNumberFormat="1" applyFont="1" applyFill="1" applyBorder="1" applyAlignment="1" applyProtection="1">
      <alignment horizontal="center"/>
    </xf>
    <xf numFmtId="2" fontId="5" fillId="0" borderId="4" xfId="0" applyNumberFormat="1" applyFont="1" applyFill="1" applyBorder="1" applyAlignment="1" applyProtection="1">
      <alignment horizontal="center" vertical="center"/>
    </xf>
    <xf numFmtId="0" fontId="5" fillId="5" borderId="12" xfId="0" applyFont="1" applyFill="1" applyBorder="1" applyAlignment="1" applyProtection="1">
      <alignment horizontal="center"/>
    </xf>
    <xf numFmtId="2" fontId="5" fillId="5" borderId="15" xfId="0" applyNumberFormat="1" applyFont="1" applyFill="1" applyBorder="1" applyAlignment="1" applyProtection="1">
      <alignment horizontal="center"/>
    </xf>
    <xf numFmtId="2" fontId="5" fillId="5" borderId="2" xfId="0" applyNumberFormat="1" applyFont="1" applyFill="1" applyBorder="1" applyAlignment="1" applyProtection="1">
      <alignment horizontal="center"/>
    </xf>
    <xf numFmtId="2" fontId="5" fillId="17" borderId="2" xfId="0" applyNumberFormat="1" applyFont="1" applyFill="1" applyBorder="1" applyAlignment="1" applyProtection="1">
      <alignment horizontal="center"/>
    </xf>
    <xf numFmtId="0" fontId="5" fillId="0" borderId="0" xfId="0" applyFont="1" applyAlignment="1" applyProtection="1">
      <alignment vertical="center"/>
    </xf>
    <xf numFmtId="2" fontId="5" fillId="5" borderId="12" xfId="0" applyNumberFormat="1" applyFont="1" applyFill="1" applyBorder="1" applyAlignment="1" applyProtection="1">
      <alignment horizontal="center"/>
    </xf>
    <xf numFmtId="2" fontId="5" fillId="5" borderId="3" xfId="0" applyNumberFormat="1" applyFont="1" applyFill="1" applyBorder="1" applyAlignment="1" applyProtection="1">
      <alignment horizontal="center"/>
    </xf>
    <xf numFmtId="2" fontId="5" fillId="17" borderId="3" xfId="0" applyNumberFormat="1" applyFont="1" applyFill="1" applyBorder="1" applyAlignment="1" applyProtection="1">
      <alignment horizontal="center"/>
    </xf>
    <xf numFmtId="2" fontId="5" fillId="0" borderId="17" xfId="0" applyNumberFormat="1" applyFont="1" applyFill="1" applyBorder="1" applyAlignment="1" applyProtection="1">
      <alignment horizontal="center" vertical="center"/>
    </xf>
    <xf numFmtId="2" fontId="5" fillId="5" borderId="13" xfId="0" applyNumberFormat="1" applyFont="1" applyFill="1" applyBorder="1" applyAlignment="1" applyProtection="1">
      <alignment horizontal="center"/>
    </xf>
    <xf numFmtId="2" fontId="5" fillId="5" borderId="43" xfId="0" applyNumberFormat="1" applyFont="1" applyFill="1" applyBorder="1" applyAlignment="1" applyProtection="1">
      <alignment horizontal="center"/>
    </xf>
    <xf numFmtId="2" fontId="5" fillId="17" borderId="43" xfId="0" applyNumberFormat="1" applyFont="1" applyFill="1" applyBorder="1" applyAlignment="1" applyProtection="1">
      <alignment horizontal="center"/>
    </xf>
    <xf numFmtId="2" fontId="5" fillId="0" borderId="25" xfId="0" applyNumberFormat="1" applyFont="1" applyFill="1" applyBorder="1" applyAlignment="1" applyProtection="1">
      <alignment horizontal="center" vertical="center"/>
    </xf>
    <xf numFmtId="2" fontId="5" fillId="5" borderId="1" xfId="0" applyNumberFormat="1" applyFont="1" applyFill="1" applyBorder="1" applyAlignment="1" applyProtection="1">
      <alignment horizontal="center"/>
    </xf>
    <xf numFmtId="2" fontId="5" fillId="5" borderId="23" xfId="0" applyNumberFormat="1" applyFont="1" applyFill="1" applyBorder="1" applyAlignment="1" applyProtection="1">
      <alignment horizontal="center"/>
    </xf>
    <xf numFmtId="2" fontId="5" fillId="17" borderId="23" xfId="0" applyNumberFormat="1" applyFont="1" applyFill="1" applyBorder="1" applyAlignment="1" applyProtection="1">
      <alignment horizontal="center"/>
    </xf>
    <xf numFmtId="2" fontId="5" fillId="0" borderId="19" xfId="0" applyNumberFormat="1" applyFont="1" applyFill="1" applyBorder="1" applyAlignment="1" applyProtection="1">
      <alignment horizontal="center" vertical="center"/>
    </xf>
    <xf numFmtId="2" fontId="5" fillId="0" borderId="41" xfId="0" applyNumberFormat="1" applyFont="1" applyFill="1" applyBorder="1" applyAlignment="1" applyProtection="1">
      <alignment horizontal="center" vertical="center"/>
    </xf>
    <xf numFmtId="164" fontId="5" fillId="5" borderId="15" xfId="0" applyNumberFormat="1" applyFont="1" applyFill="1" applyBorder="1" applyAlignment="1" applyProtection="1">
      <alignment horizontal="center"/>
    </xf>
    <xf numFmtId="164" fontId="5" fillId="5" borderId="2" xfId="0" applyNumberFormat="1" applyFont="1" applyFill="1" applyBorder="1" applyAlignment="1" applyProtection="1">
      <alignment horizontal="center"/>
    </xf>
    <xf numFmtId="164" fontId="5" fillId="17" borderId="2" xfId="0" applyNumberFormat="1" applyFont="1" applyFill="1" applyBorder="1" applyAlignment="1" applyProtection="1">
      <alignment horizontal="center"/>
    </xf>
    <xf numFmtId="0" fontId="5" fillId="0" borderId="24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2" fontId="5" fillId="0" borderId="40" xfId="0" applyNumberFormat="1" applyFont="1" applyFill="1" applyBorder="1" applyAlignment="1" applyProtection="1">
      <alignment horizontal="center" vertical="center"/>
    </xf>
    <xf numFmtId="164" fontId="5" fillId="5" borderId="1" xfId="0" applyNumberFormat="1" applyFont="1" applyFill="1" applyBorder="1" applyAlignment="1" applyProtection="1">
      <alignment horizontal="center"/>
    </xf>
    <xf numFmtId="164" fontId="5" fillId="5" borderId="23" xfId="0" applyNumberFormat="1" applyFont="1" applyFill="1" applyBorder="1" applyAlignment="1" applyProtection="1">
      <alignment horizontal="center"/>
    </xf>
    <xf numFmtId="164" fontId="5" fillId="17" borderId="23" xfId="0" applyNumberFormat="1" applyFont="1" applyFill="1" applyBorder="1" applyAlignment="1" applyProtection="1">
      <alignment horizontal="center"/>
    </xf>
    <xf numFmtId="2" fontId="5" fillId="5" borderId="9" xfId="0" applyNumberFormat="1" applyFont="1" applyFill="1" applyBorder="1" applyAlignment="1" applyProtection="1">
      <alignment horizontal="center"/>
    </xf>
    <xf numFmtId="2" fontId="5" fillId="5" borderId="27" xfId="0" applyNumberFormat="1" applyFont="1" applyFill="1" applyBorder="1" applyAlignment="1" applyProtection="1">
      <alignment horizontal="center"/>
    </xf>
    <xf numFmtId="2" fontId="5" fillId="5" borderId="10" xfId="0" applyNumberFormat="1" applyFont="1" applyFill="1" applyBorder="1" applyAlignment="1" applyProtection="1">
      <alignment horizontal="center"/>
    </xf>
    <xf numFmtId="2" fontId="5" fillId="5" borderId="4" xfId="0" applyNumberFormat="1" applyFont="1" applyFill="1" applyBorder="1" applyAlignment="1" applyProtection="1">
      <alignment horizontal="center"/>
    </xf>
    <xf numFmtId="2" fontId="5" fillId="17" borderId="4" xfId="0" applyNumberFormat="1" applyFont="1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left"/>
    </xf>
    <xf numFmtId="2" fontId="5" fillId="0" borderId="23" xfId="0" applyNumberFormat="1" applyFont="1" applyFill="1" applyBorder="1" applyAlignment="1" applyProtection="1">
      <alignment horizontal="center"/>
    </xf>
    <xf numFmtId="0" fontId="5" fillId="0" borderId="31" xfId="0" applyFont="1" applyBorder="1" applyProtection="1"/>
    <xf numFmtId="0" fontId="5" fillId="0" borderId="32" xfId="0" applyFont="1" applyBorder="1" applyProtection="1"/>
    <xf numFmtId="2" fontId="5" fillId="0" borderId="17" xfId="0" applyNumberFormat="1" applyFont="1" applyBorder="1" applyAlignment="1" applyProtection="1">
      <alignment horizontal="center" vertical="center"/>
    </xf>
    <xf numFmtId="2" fontId="5" fillId="0" borderId="34" xfId="0" applyNumberFormat="1" applyFont="1" applyFill="1" applyBorder="1" applyAlignment="1" applyProtection="1">
      <alignment horizontal="center" vertical="center"/>
    </xf>
    <xf numFmtId="2" fontId="0" fillId="0" borderId="0" xfId="0" applyNumberFormat="1" applyBorder="1" applyProtection="1"/>
    <xf numFmtId="2" fontId="5" fillId="0" borderId="16" xfId="0" applyNumberFormat="1" applyFont="1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vertical="center"/>
    </xf>
    <xf numFmtId="0" fontId="0" fillId="0" borderId="15" xfId="0" applyBorder="1" applyAlignment="1" applyProtection="1">
      <alignment horizontal="center"/>
    </xf>
    <xf numFmtId="0" fontId="0" fillId="0" borderId="46" xfId="0" applyBorder="1" applyAlignment="1" applyProtection="1">
      <alignment horizontal="center"/>
    </xf>
    <xf numFmtId="0" fontId="0" fillId="0" borderId="22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0" fillId="0" borderId="47" xfId="0" applyBorder="1" applyAlignment="1" applyProtection="1">
      <alignment horizontal="center"/>
    </xf>
    <xf numFmtId="0" fontId="0" fillId="0" borderId="20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0" fillId="0" borderId="48" xfId="0" applyBorder="1" applyAlignment="1" applyProtection="1">
      <alignment horizontal="center"/>
    </xf>
    <xf numFmtId="0" fontId="0" fillId="0" borderId="49" xfId="0" applyBorder="1" applyAlignment="1" applyProtection="1">
      <alignment horizontal="center"/>
    </xf>
    <xf numFmtId="2" fontId="5" fillId="0" borderId="24" xfId="0" applyNumberFormat="1" applyFont="1" applyFill="1" applyBorder="1" applyAlignment="1" applyProtection="1">
      <alignment horizontal="center" vertical="center"/>
    </xf>
    <xf numFmtId="2" fontId="5" fillId="0" borderId="29" xfId="0" applyNumberFormat="1" applyFont="1" applyFill="1" applyBorder="1" applyAlignment="1" applyProtection="1">
      <alignment horizontal="center"/>
    </xf>
    <xf numFmtId="0" fontId="0" fillId="0" borderId="31" xfId="0" applyFill="1" applyBorder="1" applyAlignment="1" applyProtection="1">
      <alignment horizontal="center"/>
    </xf>
    <xf numFmtId="2" fontId="0" fillId="0" borderId="103" xfId="0" applyNumberFormat="1" applyFill="1" applyBorder="1" applyAlignment="1" applyProtection="1">
      <alignment horizontal="center"/>
    </xf>
    <xf numFmtId="164" fontId="0" fillId="0" borderId="103" xfId="0" applyNumberFormat="1" applyFill="1" applyBorder="1" applyAlignment="1" applyProtection="1">
      <alignment horizontal="center"/>
    </xf>
    <xf numFmtId="0" fontId="0" fillId="0" borderId="108" xfId="0" applyFill="1" applyBorder="1" applyAlignment="1" applyProtection="1">
      <alignment vertical="center"/>
    </xf>
    <xf numFmtId="0" fontId="5" fillId="3" borderId="28" xfId="0" applyFont="1" applyFill="1" applyBorder="1" applyAlignment="1" applyProtection="1">
      <alignment horizontal="center" vertical="center"/>
    </xf>
    <xf numFmtId="2" fontId="5" fillId="17" borderId="1" xfId="0" applyNumberFormat="1" applyFont="1" applyFill="1" applyBorder="1" applyAlignment="1" applyProtection="1">
      <alignment horizontal="center"/>
    </xf>
    <xf numFmtId="2" fontId="5" fillId="17" borderId="63" xfId="0" applyNumberFormat="1" applyFont="1" applyFill="1" applyBorder="1" applyAlignment="1" applyProtection="1">
      <alignment horizontal="center"/>
    </xf>
    <xf numFmtId="2" fontId="0" fillId="0" borderId="16" xfId="0" applyNumberFormat="1" applyFill="1" applyBorder="1" applyAlignment="1" applyProtection="1">
      <alignment horizontal="center" vertical="center"/>
    </xf>
    <xf numFmtId="2" fontId="0" fillId="0" borderId="40" xfId="0" applyNumberFormat="1" applyFill="1" applyBorder="1" applyAlignment="1" applyProtection="1">
      <alignment horizontal="center" vertical="center"/>
    </xf>
    <xf numFmtId="0" fontId="0" fillId="0" borderId="24" xfId="0" applyFill="1" applyBorder="1" applyAlignment="1" applyProtection="1">
      <alignment horizontal="center"/>
    </xf>
    <xf numFmtId="0" fontId="5" fillId="0" borderId="19" xfId="0" applyFon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</xf>
    <xf numFmtId="0" fontId="5" fillId="0" borderId="7" xfId="0" applyFont="1" applyFill="1" applyBorder="1" applyAlignment="1" applyProtection="1">
      <alignment horizontal="center" vertical="center"/>
    </xf>
    <xf numFmtId="0" fontId="5" fillId="0" borderId="8" xfId="0" applyFont="1" applyFill="1" applyBorder="1" applyAlignment="1" applyProtection="1">
      <alignment horizontal="center" vertical="center"/>
    </xf>
    <xf numFmtId="2" fontId="5" fillId="0" borderId="9" xfId="0" applyNumberFormat="1" applyFont="1" applyFill="1" applyBorder="1" applyAlignment="1" applyProtection="1">
      <alignment horizontal="center" vertical="center"/>
    </xf>
    <xf numFmtId="2" fontId="5" fillId="0" borderId="12" xfId="0" applyNumberFormat="1" applyFont="1" applyFill="1" applyBorder="1" applyAlignment="1" applyProtection="1">
      <alignment horizontal="center" vertical="center"/>
    </xf>
    <xf numFmtId="2" fontId="5" fillId="0" borderId="10" xfId="0" applyNumberFormat="1" applyFont="1" applyFill="1" applyBorder="1" applyAlignment="1" applyProtection="1">
      <alignment horizontal="center" vertical="center"/>
    </xf>
    <xf numFmtId="2" fontId="5" fillId="21" borderId="107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/>
    <xf numFmtId="0" fontId="4" fillId="0" borderId="0" xfId="0" applyFont="1" applyFill="1" applyBorder="1" applyAlignment="1" applyProtection="1">
      <alignment horizontal="center" vertical="center"/>
    </xf>
    <xf numFmtId="2" fontId="5" fillId="21" borderId="19" xfId="0" applyNumberFormat="1" applyFont="1" applyFill="1" applyBorder="1" applyAlignment="1" applyProtection="1">
      <alignment horizontal="center" vertical="center"/>
    </xf>
    <xf numFmtId="2" fontId="5" fillId="0" borderId="19" xfId="0" applyNumberFormat="1" applyFont="1" applyFill="1" applyBorder="1" applyAlignment="1" applyProtection="1">
      <alignment horizontal="center"/>
    </xf>
    <xf numFmtId="2" fontId="5" fillId="16" borderId="16" xfId="0" applyNumberFormat="1" applyFont="1" applyFill="1" applyBorder="1" applyAlignment="1" applyProtection="1">
      <alignment horizontal="center" vertical="center"/>
    </xf>
    <xf numFmtId="2" fontId="5" fillId="21" borderId="17" xfId="0" applyNumberFormat="1" applyFont="1" applyFill="1" applyBorder="1" applyAlignment="1" applyProtection="1">
      <alignment horizontal="center" vertical="center"/>
    </xf>
    <xf numFmtId="2" fontId="5" fillId="0" borderId="17" xfId="0" applyNumberFormat="1" applyFont="1" applyFill="1" applyBorder="1" applyAlignment="1" applyProtection="1">
      <alignment horizontal="center"/>
    </xf>
    <xf numFmtId="2" fontId="5" fillId="16" borderId="1" xfId="0" applyNumberFormat="1" applyFont="1" applyFill="1" applyBorder="1" applyAlignment="1" applyProtection="1">
      <alignment horizontal="center" vertical="center"/>
      <protection locked="0"/>
    </xf>
    <xf numFmtId="2" fontId="5" fillId="16" borderId="37" xfId="0" applyNumberFormat="1" applyFont="1" applyFill="1" applyBorder="1" applyAlignment="1" applyProtection="1">
      <alignment horizontal="center" vertical="center"/>
      <protection locked="0"/>
    </xf>
    <xf numFmtId="2" fontId="5" fillId="21" borderId="29" xfId="0" applyNumberFormat="1" applyFont="1" applyFill="1" applyBorder="1" applyAlignment="1" applyProtection="1">
      <alignment horizontal="center" vertical="center"/>
    </xf>
    <xf numFmtId="0" fontId="4" fillId="15" borderId="3" xfId="0" applyFont="1" applyFill="1" applyBorder="1" applyAlignment="1" applyProtection="1">
      <alignment horizontal="center" vertical="center"/>
    </xf>
    <xf numFmtId="0" fontId="4" fillId="15" borderId="12" xfId="0" applyFont="1" applyFill="1" applyBorder="1" applyAlignment="1" applyProtection="1">
      <alignment horizontal="center" vertical="center"/>
    </xf>
    <xf numFmtId="0" fontId="4" fillId="15" borderId="7" xfId="0" applyFont="1" applyFill="1" applyBorder="1" applyAlignment="1" applyProtection="1">
      <alignment horizontal="center" vertical="center"/>
    </xf>
    <xf numFmtId="0" fontId="5" fillId="0" borderId="8" xfId="0" applyFont="1" applyBorder="1" applyAlignment="1" applyProtection="1">
      <alignment horizontal="center" vertical="center"/>
    </xf>
    <xf numFmtId="0" fontId="4" fillId="15" borderId="61" xfId="0" applyFont="1" applyFill="1" applyBorder="1" applyAlignment="1" applyProtection="1">
      <alignment horizontal="center" vertical="center"/>
    </xf>
    <xf numFmtId="0" fontId="5" fillId="0" borderId="104" xfId="0" applyFont="1" applyFill="1" applyBorder="1" applyAlignment="1" applyProtection="1">
      <alignment horizontal="center" vertical="center"/>
    </xf>
    <xf numFmtId="0" fontId="5" fillId="0" borderId="61" xfId="0" applyFont="1" applyFill="1" applyBorder="1" applyAlignment="1" applyProtection="1">
      <alignment horizontal="center" vertical="center"/>
    </xf>
    <xf numFmtId="0" fontId="5" fillId="0" borderId="66" xfId="0" applyFont="1" applyFill="1" applyBorder="1" applyAlignment="1" applyProtection="1">
      <alignment horizontal="center" vertical="center"/>
    </xf>
    <xf numFmtId="0" fontId="4" fillId="15" borderId="9" xfId="0" applyFont="1" applyFill="1" applyBorder="1" applyAlignment="1" applyProtection="1">
      <alignment horizontal="center" vertical="center"/>
    </xf>
    <xf numFmtId="0" fontId="5" fillId="0" borderId="41" xfId="0" applyFont="1" applyBorder="1" applyAlignment="1" applyProtection="1">
      <alignment horizontal="center" vertical="center"/>
    </xf>
    <xf numFmtId="0" fontId="0" fillId="18" borderId="38" xfId="0" applyFill="1" applyBorder="1" applyAlignment="1" applyProtection="1">
      <alignment horizontal="center"/>
      <protection locked="0"/>
    </xf>
    <xf numFmtId="0" fontId="0" fillId="18" borderId="105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33" xfId="0" applyFill="1" applyBorder="1" applyProtection="1"/>
    <xf numFmtId="0" fontId="0" fillId="0" borderId="1" xfId="0" applyFill="1" applyBorder="1" applyAlignment="1" applyProtection="1">
      <alignment horizontal="center"/>
    </xf>
    <xf numFmtId="0" fontId="17" fillId="2" borderId="1" xfId="0" applyFont="1" applyFill="1" applyBorder="1" applyProtection="1"/>
    <xf numFmtId="0" fontId="17" fillId="2" borderId="16" xfId="0" applyFont="1" applyFill="1" applyBorder="1" applyProtection="1"/>
    <xf numFmtId="0" fontId="0" fillId="20" borderId="37" xfId="0" applyFill="1" applyBorder="1"/>
    <xf numFmtId="0" fontId="0" fillId="20" borderId="1" xfId="0" applyFill="1" applyBorder="1"/>
    <xf numFmtId="0" fontId="0" fillId="20" borderId="28" xfId="0" applyFill="1" applyBorder="1" applyAlignment="1">
      <alignment horizontal="center"/>
    </xf>
    <xf numFmtId="0" fontId="0" fillId="20" borderId="11" xfId="0" applyFill="1" applyBorder="1"/>
    <xf numFmtId="0" fontId="0" fillId="20" borderId="8" xfId="0" applyFill="1" applyBorder="1"/>
    <xf numFmtId="2" fontId="0" fillId="20" borderId="1" xfId="0" applyNumberFormat="1" applyFill="1" applyBorder="1" applyAlignment="1">
      <alignment horizontal="center"/>
    </xf>
    <xf numFmtId="0" fontId="0" fillId="20" borderId="9" xfId="0" applyFill="1" applyBorder="1" applyAlignment="1">
      <alignment horizontal="center"/>
    </xf>
    <xf numFmtId="2" fontId="0" fillId="20" borderId="12" xfId="0" applyNumberFormat="1" applyFill="1" applyBorder="1" applyAlignment="1">
      <alignment horizontal="center"/>
    </xf>
    <xf numFmtId="2" fontId="0" fillId="20" borderId="10" xfId="0" applyNumberFormat="1" applyFill="1" applyBorder="1" applyAlignment="1">
      <alignment horizontal="center"/>
    </xf>
    <xf numFmtId="164" fontId="0" fillId="20" borderId="9" xfId="0" applyNumberFormat="1" applyFill="1" applyBorder="1" applyAlignment="1">
      <alignment horizontal="center"/>
    </xf>
    <xf numFmtId="164" fontId="0" fillId="20" borderId="12" xfId="0" applyNumberFormat="1" applyFill="1" applyBorder="1" applyAlignment="1">
      <alignment horizontal="center"/>
    </xf>
    <xf numFmtId="164" fontId="0" fillId="20" borderId="10" xfId="0" applyNumberFormat="1" applyFill="1" applyBorder="1" applyAlignment="1">
      <alignment horizontal="center"/>
    </xf>
    <xf numFmtId="2" fontId="0" fillId="20" borderId="9" xfId="0" applyNumberFormat="1" applyFill="1" applyBorder="1" applyAlignment="1">
      <alignment horizontal="center"/>
    </xf>
    <xf numFmtId="164" fontId="0" fillId="20" borderId="13" xfId="0" applyNumberFormat="1" applyFill="1" applyBorder="1" applyAlignment="1">
      <alignment horizontal="center"/>
    </xf>
    <xf numFmtId="165" fontId="0" fillId="20" borderId="9" xfId="0" applyNumberFormat="1" applyFill="1" applyBorder="1" applyAlignment="1">
      <alignment horizontal="center"/>
    </xf>
    <xf numFmtId="0" fontId="0" fillId="20" borderId="10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164" fontId="0" fillId="20" borderId="34" xfId="0" applyNumberFormat="1" applyFill="1" applyBorder="1" applyAlignment="1">
      <alignment horizontal="center"/>
    </xf>
    <xf numFmtId="0" fontId="0" fillId="20" borderId="23" xfId="0" applyFill="1" applyBorder="1" applyAlignment="1">
      <alignment horizontal="center"/>
    </xf>
    <xf numFmtId="164" fontId="0" fillId="22" borderId="12" xfId="0" applyNumberFormat="1" applyFill="1" applyBorder="1" applyAlignment="1">
      <alignment horizontal="center"/>
    </xf>
    <xf numFmtId="164" fontId="0" fillId="22" borderId="3" xfId="0" applyNumberFormat="1" applyFill="1" applyBorder="1" applyAlignment="1">
      <alignment horizontal="center"/>
    </xf>
    <xf numFmtId="164" fontId="0" fillId="22" borderId="15" xfId="0" applyNumberFormat="1" applyFill="1" applyBorder="1" applyAlignment="1">
      <alignment horizontal="center"/>
    </xf>
    <xf numFmtId="164" fontId="0" fillId="22" borderId="35" xfId="0" applyNumberFormat="1" applyFill="1" applyBorder="1" applyAlignment="1">
      <alignment horizontal="center"/>
    </xf>
    <xf numFmtId="0" fontId="0" fillId="17" borderId="17" xfId="0" applyFill="1" applyBorder="1"/>
    <xf numFmtId="0" fontId="0" fillId="17" borderId="41" xfId="0" applyFill="1" applyBorder="1"/>
    <xf numFmtId="0" fontId="0" fillId="17" borderId="25" xfId="0" applyFill="1" applyBorder="1"/>
    <xf numFmtId="0" fontId="0" fillId="17" borderId="16" xfId="0" applyFill="1" applyBorder="1"/>
    <xf numFmtId="0" fontId="0" fillId="17" borderId="37" xfId="0" applyFill="1" applyBorder="1" applyAlignment="1">
      <alignment horizontal="center"/>
    </xf>
    <xf numFmtId="0" fontId="0" fillId="17" borderId="37" xfId="0" applyFill="1" applyBorder="1"/>
    <xf numFmtId="2" fontId="0" fillId="17" borderId="40" xfId="0" applyNumberFormat="1" applyFill="1" applyBorder="1" applyAlignment="1">
      <alignment horizontal="center"/>
    </xf>
    <xf numFmtId="2" fontId="0" fillId="17" borderId="17" xfId="0" applyNumberFormat="1" applyFill="1" applyBorder="1" applyAlignment="1">
      <alignment horizontal="center"/>
    </xf>
    <xf numFmtId="0" fontId="0" fillId="17" borderId="41" xfId="0" applyFill="1" applyBorder="1" applyAlignment="1">
      <alignment horizontal="center"/>
    </xf>
    <xf numFmtId="2" fontId="0" fillId="17" borderId="41" xfId="0" applyNumberFormat="1" applyFill="1" applyBorder="1" applyAlignment="1">
      <alignment horizontal="center"/>
    </xf>
    <xf numFmtId="0" fontId="0" fillId="17" borderId="41" xfId="0" applyFill="1" applyBorder="1" applyAlignment="1"/>
    <xf numFmtId="0" fontId="0" fillId="17" borderId="25" xfId="0" applyFill="1" applyBorder="1" applyAlignment="1">
      <alignment horizontal="center"/>
    </xf>
    <xf numFmtId="0" fontId="2" fillId="20" borderId="16" xfId="0" applyFont="1" applyFill="1" applyBorder="1" applyAlignment="1" applyProtection="1">
      <alignment horizontal="left" vertical="center"/>
    </xf>
    <xf numFmtId="0" fontId="2" fillId="20" borderId="40" xfId="0" applyFont="1" applyFill="1" applyBorder="1" applyAlignment="1" applyProtection="1">
      <alignment horizontal="left" vertical="center"/>
    </xf>
    <xf numFmtId="2" fontId="2" fillId="20" borderId="1" xfId="0" applyNumberFormat="1" applyFont="1" applyFill="1" applyBorder="1" applyAlignment="1" applyProtection="1">
      <alignment horizontal="center" vertical="center"/>
    </xf>
    <xf numFmtId="0" fontId="12" fillId="20" borderId="16" xfId="0" applyFont="1" applyFill="1" applyBorder="1" applyProtection="1"/>
    <xf numFmtId="0" fontId="0" fillId="20" borderId="40" xfId="0" applyFill="1" applyBorder="1" applyProtection="1"/>
    <xf numFmtId="2" fontId="0" fillId="20" borderId="1" xfId="0" applyNumberFormat="1" applyFill="1" applyBorder="1" applyAlignment="1" applyProtection="1">
      <alignment horizontal="center"/>
    </xf>
    <xf numFmtId="2" fontId="0" fillId="0" borderId="1" xfId="0" applyNumberFormat="1" applyFill="1" applyBorder="1" applyAlignment="1" applyProtection="1">
      <alignment horizontal="center"/>
    </xf>
    <xf numFmtId="0" fontId="0" fillId="23" borderId="17" xfId="0" applyFill="1" applyBorder="1" applyAlignment="1" applyProtection="1">
      <alignment horizontal="center" vertical="center"/>
    </xf>
    <xf numFmtId="0" fontId="0" fillId="23" borderId="16" xfId="0" applyFill="1" applyBorder="1" applyAlignment="1" applyProtection="1">
      <alignment horizontal="center"/>
    </xf>
    <xf numFmtId="0" fontId="12" fillId="23" borderId="9" xfId="0" applyFont="1" applyFill="1" applyBorder="1" applyAlignment="1" applyProtection="1">
      <alignment horizontal="center" vertical="center"/>
    </xf>
    <xf numFmtId="0" fontId="12" fillId="12" borderId="9" xfId="0" applyFont="1" applyFill="1" applyBorder="1" applyAlignment="1" applyProtection="1">
      <alignment horizontal="center" vertical="center"/>
    </xf>
    <xf numFmtId="1" fontId="0" fillId="20" borderId="10" xfId="0" applyNumberFormat="1" applyFill="1" applyBorder="1" applyAlignment="1">
      <alignment horizontal="center"/>
    </xf>
    <xf numFmtId="0" fontId="0" fillId="0" borderId="13" xfId="0" applyBorder="1"/>
    <xf numFmtId="0" fontId="0" fillId="20" borderId="12" xfId="0" applyFill="1" applyBorder="1" applyAlignment="1">
      <alignment horizontal="center"/>
    </xf>
    <xf numFmtId="0" fontId="12" fillId="0" borderId="10" xfId="0" applyFont="1" applyBorder="1"/>
    <xf numFmtId="164" fontId="0" fillId="20" borderId="1" xfId="0" applyNumberFormat="1" applyFill="1" applyBorder="1" applyAlignment="1">
      <alignment horizontal="center"/>
    </xf>
    <xf numFmtId="0" fontId="12" fillId="0" borderId="1" xfId="0" applyFont="1" applyBorder="1"/>
    <xf numFmtId="0" fontId="0" fillId="0" borderId="16" xfId="0" applyFill="1" applyBorder="1"/>
    <xf numFmtId="0" fontId="0" fillId="20" borderId="16" xfId="0" applyFill="1" applyBorder="1"/>
    <xf numFmtId="0" fontId="0" fillId="0" borderId="2" xfId="0" applyFill="1" applyBorder="1" applyAlignment="1" applyProtection="1">
      <alignment horizontal="center"/>
    </xf>
    <xf numFmtId="0" fontId="0" fillId="0" borderId="4" xfId="0" applyFill="1" applyBorder="1" applyAlignment="1" applyProtection="1">
      <alignment horizontal="center"/>
    </xf>
    <xf numFmtId="0" fontId="0" fillId="0" borderId="43" xfId="0" applyFill="1" applyBorder="1" applyAlignment="1" applyProtection="1">
      <alignment horizontal="center"/>
    </xf>
    <xf numFmtId="0" fontId="0" fillId="0" borderId="32" xfId="0" applyBorder="1" applyAlignment="1" applyProtection="1">
      <alignment horizontal="center"/>
    </xf>
    <xf numFmtId="2" fontId="0" fillId="0" borderId="32" xfId="0" applyNumberFormat="1" applyBorder="1" applyAlignment="1" applyProtection="1">
      <alignment horizontal="center"/>
    </xf>
    <xf numFmtId="0" fontId="0" fillId="4" borderId="37" xfId="0" applyFill="1" applyBorder="1" applyAlignment="1" applyProtection="1">
      <alignment horizontal="center" vertical="center"/>
    </xf>
    <xf numFmtId="0" fontId="0" fillId="4" borderId="40" xfId="0" applyFill="1" applyBorder="1" applyAlignment="1" applyProtection="1">
      <alignment horizontal="center" vertical="center"/>
    </xf>
    <xf numFmtId="0" fontId="0" fillId="3" borderId="37" xfId="0" applyFill="1" applyBorder="1" applyAlignment="1" applyProtection="1">
      <alignment horizontal="center" vertical="center"/>
    </xf>
    <xf numFmtId="0" fontId="0" fillId="3" borderId="40" xfId="0" applyFill="1" applyBorder="1" applyAlignment="1" applyProtection="1">
      <alignment horizontal="center" vertical="center"/>
    </xf>
    <xf numFmtId="0" fontId="0" fillId="3" borderId="37" xfId="0" applyFill="1" applyBorder="1" applyAlignment="1" applyProtection="1">
      <alignment vertical="center"/>
    </xf>
    <xf numFmtId="2" fontId="0" fillId="0" borderId="26" xfId="0" applyNumberFormat="1" applyBorder="1" applyAlignment="1" applyProtection="1">
      <alignment horizontal="center"/>
    </xf>
    <xf numFmtId="0" fontId="0" fillId="0" borderId="29" xfId="0" applyBorder="1" applyProtection="1"/>
    <xf numFmtId="0" fontId="0" fillId="12" borderId="10" xfId="0" applyFill="1" applyBorder="1" applyAlignment="1" applyProtection="1">
      <alignment horizontal="center" vertical="center"/>
    </xf>
    <xf numFmtId="2" fontId="0" fillId="7" borderId="1" xfId="0" applyNumberFormat="1" applyFill="1" applyBorder="1" applyAlignment="1" applyProtection="1">
      <alignment horizontal="center"/>
    </xf>
    <xf numFmtId="0" fontId="0" fillId="12" borderId="40" xfId="0" applyFill="1" applyBorder="1" applyAlignment="1" applyProtection="1">
      <alignment horizontal="center"/>
    </xf>
    <xf numFmtId="166" fontId="0" fillId="0" borderId="3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0" fontId="0" fillId="24" borderId="0" xfId="0" applyFill="1" applyBorder="1" applyAlignment="1">
      <alignment horizontal="center"/>
    </xf>
    <xf numFmtId="0" fontId="0" fillId="24" borderId="0" xfId="0" applyFill="1" applyBorder="1"/>
    <xf numFmtId="0" fontId="0" fillId="24" borderId="15" xfId="0" applyFill="1" applyBorder="1"/>
    <xf numFmtId="2" fontId="0" fillId="24" borderId="2" xfId="0" applyNumberFormat="1" applyFill="1" applyBorder="1" applyAlignment="1">
      <alignment horizontal="center"/>
    </xf>
    <xf numFmtId="2" fontId="0" fillId="24" borderId="0" xfId="0" applyNumberFormat="1" applyFill="1" applyBorder="1" applyAlignment="1">
      <alignment horizontal="center"/>
    </xf>
    <xf numFmtId="0" fontId="0" fillId="24" borderId="12" xfId="0" applyFill="1" applyBorder="1"/>
    <xf numFmtId="2" fontId="0" fillId="24" borderId="3" xfId="0" applyNumberFormat="1" applyFill="1" applyBorder="1" applyAlignment="1">
      <alignment horizontal="center"/>
    </xf>
    <xf numFmtId="0" fontId="0" fillId="24" borderId="3" xfId="0" applyFill="1" applyBorder="1" applyAlignment="1">
      <alignment horizontal="center"/>
    </xf>
    <xf numFmtId="0" fontId="0" fillId="24" borderId="10" xfId="0" applyFill="1" applyBorder="1"/>
    <xf numFmtId="2" fontId="0" fillId="24" borderId="4" xfId="0" applyNumberFormat="1" applyFill="1" applyBorder="1" applyAlignment="1">
      <alignment horizontal="center"/>
    </xf>
    <xf numFmtId="0" fontId="0" fillId="24" borderId="15" xfId="0" applyFill="1" applyBorder="1" applyAlignment="1">
      <alignment horizontal="center"/>
    </xf>
    <xf numFmtId="166" fontId="0" fillId="24" borderId="2" xfId="0" applyNumberFormat="1" applyFill="1" applyBorder="1" applyAlignment="1">
      <alignment horizontal="center"/>
    </xf>
    <xf numFmtId="0" fontId="0" fillId="24" borderId="12" xfId="0" applyFill="1" applyBorder="1" applyAlignment="1">
      <alignment horizontal="center"/>
    </xf>
    <xf numFmtId="166" fontId="0" fillId="24" borderId="3" xfId="0" applyNumberFormat="1" applyFill="1" applyBorder="1" applyAlignment="1">
      <alignment horizontal="center"/>
    </xf>
    <xf numFmtId="0" fontId="2" fillId="24" borderId="26" xfId="0" applyFont="1" applyFill="1" applyBorder="1" applyAlignment="1">
      <alignment horizontal="center"/>
    </xf>
    <xf numFmtId="2" fontId="0" fillId="24" borderId="27" xfId="0" applyNumberFormat="1" applyFill="1" applyBorder="1" applyAlignment="1">
      <alignment horizontal="center"/>
    </xf>
    <xf numFmtId="0" fontId="2" fillId="24" borderId="21" xfId="0" applyFont="1" applyFill="1" applyBorder="1" applyAlignment="1">
      <alignment horizontal="center"/>
    </xf>
    <xf numFmtId="0" fontId="0" fillId="24" borderId="19" xfId="0" applyFill="1" applyBorder="1"/>
    <xf numFmtId="0" fontId="0" fillId="24" borderId="29" xfId="0" applyFill="1" applyBorder="1"/>
    <xf numFmtId="0" fontId="0" fillId="24" borderId="30" xfId="0" applyFill="1" applyBorder="1"/>
    <xf numFmtId="0" fontId="0" fillId="24" borderId="31" xfId="0" applyFill="1" applyBorder="1"/>
    <xf numFmtId="0" fontId="0" fillId="24" borderId="32" xfId="0" applyFill="1" applyBorder="1"/>
    <xf numFmtId="2" fontId="0" fillId="24" borderId="0" xfId="0" applyNumberFormat="1" applyFill="1" applyBorder="1"/>
    <xf numFmtId="0" fontId="0" fillId="24" borderId="24" xfId="0" applyFill="1" applyBorder="1"/>
    <xf numFmtId="0" fontId="0" fillId="24" borderId="33" xfId="0" applyFill="1" applyBorder="1"/>
    <xf numFmtId="0" fontId="0" fillId="24" borderId="34" xfId="0" applyFill="1" applyBorder="1"/>
    <xf numFmtId="0" fontId="0" fillId="16" borderId="16" xfId="0" applyFill="1" applyBorder="1"/>
    <xf numFmtId="0" fontId="0" fillId="16" borderId="40" xfId="0" applyFill="1" applyBorder="1"/>
    <xf numFmtId="0" fontId="0" fillId="16" borderId="37" xfId="0" applyFill="1" applyBorder="1"/>
    <xf numFmtId="0" fontId="0" fillId="16" borderId="37" xfId="0" applyFill="1" applyBorder="1" applyAlignment="1">
      <alignment horizontal="center"/>
    </xf>
    <xf numFmtId="0" fontId="5" fillId="24" borderId="1" xfId="0" applyFont="1" applyFill="1" applyBorder="1"/>
    <xf numFmtId="0" fontId="5" fillId="24" borderId="23" xfId="0" applyFont="1" applyFill="1" applyBorder="1" applyAlignment="1">
      <alignment horizontal="center"/>
    </xf>
    <xf numFmtId="0" fontId="5" fillId="24" borderId="17" xfId="0" applyFont="1" applyFill="1" applyBorder="1" applyAlignment="1">
      <alignment horizontal="center"/>
    </xf>
    <xf numFmtId="0" fontId="5" fillId="24" borderId="53" xfId="0" applyFont="1" applyFill="1" applyBorder="1" applyAlignment="1">
      <alignment horizontal="center"/>
    </xf>
    <xf numFmtId="0" fontId="5" fillId="24" borderId="25" xfId="0" applyFont="1" applyFill="1" applyBorder="1" applyAlignment="1">
      <alignment horizontal="center"/>
    </xf>
    <xf numFmtId="2" fontId="5" fillId="24" borderId="51" xfId="0" applyNumberFormat="1" applyFont="1" applyFill="1" applyBorder="1" applyAlignment="1">
      <alignment horizontal="center"/>
    </xf>
    <xf numFmtId="164" fontId="0" fillId="24" borderId="0" xfId="0" applyNumberFormat="1" applyFill="1" applyBorder="1"/>
    <xf numFmtId="2" fontId="0" fillId="24" borderId="28" xfId="0" applyNumberFormat="1" applyFill="1" applyBorder="1"/>
    <xf numFmtId="2" fontId="0" fillId="24" borderId="23" xfId="0" applyNumberFormat="1" applyFill="1" applyBorder="1"/>
    <xf numFmtId="0" fontId="0" fillId="24" borderId="9" xfId="0" applyFill="1" applyBorder="1"/>
    <xf numFmtId="0" fontId="2" fillId="16" borderId="16" xfId="0" applyFont="1" applyFill="1" applyBorder="1"/>
    <xf numFmtId="0" fontId="0" fillId="18" borderId="64" xfId="0" applyFill="1" applyBorder="1" applyAlignment="1" applyProtection="1">
      <alignment horizontal="center"/>
      <protection locked="0"/>
    </xf>
    <xf numFmtId="0" fontId="0" fillId="18" borderId="35" xfId="0" applyFill="1" applyBorder="1" applyAlignment="1" applyProtection="1">
      <alignment horizontal="center"/>
      <protection locked="0"/>
    </xf>
    <xf numFmtId="0" fontId="2" fillId="0" borderId="0" xfId="0" applyFont="1"/>
    <xf numFmtId="0" fontId="0" fillId="0" borderId="103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9" fontId="0" fillId="0" borderId="0" xfId="1" applyFont="1"/>
    <xf numFmtId="0" fontId="2" fillId="0" borderId="0" xfId="0" applyFont="1" applyFill="1" applyBorder="1"/>
    <xf numFmtId="9" fontId="0" fillId="0" borderId="0" xfId="0" applyNumberFormat="1" applyFill="1" applyBorder="1"/>
    <xf numFmtId="9" fontId="0" fillId="0" borderId="0" xfId="0" applyNumberFormat="1"/>
    <xf numFmtId="2" fontId="0" fillId="18" borderId="26" xfId="0" applyNumberFormat="1" applyFill="1" applyBorder="1" applyAlignment="1" applyProtection="1">
      <alignment horizontal="center"/>
      <protection locked="0"/>
    </xf>
    <xf numFmtId="2" fontId="0" fillId="18" borderId="6" xfId="0" applyNumberFormat="1" applyFill="1" applyBorder="1" applyAlignment="1" applyProtection="1">
      <alignment horizontal="center"/>
      <protection locked="0"/>
    </xf>
    <xf numFmtId="2" fontId="0" fillId="18" borderId="102" xfId="0" applyNumberFormat="1" applyFill="1" applyBorder="1" applyAlignment="1" applyProtection="1">
      <alignment horizontal="center"/>
      <protection locked="0"/>
    </xf>
    <xf numFmtId="2" fontId="0" fillId="18" borderId="47" xfId="0" applyNumberFormat="1" applyFill="1" applyBorder="1" applyAlignment="1" applyProtection="1">
      <alignment horizontal="center"/>
      <protection locked="0"/>
    </xf>
    <xf numFmtId="2" fontId="0" fillId="18" borderId="27" xfId="0" applyNumberFormat="1" applyFill="1" applyBorder="1" applyAlignment="1" applyProtection="1">
      <alignment horizontal="center"/>
      <protection locked="0"/>
    </xf>
    <xf numFmtId="2" fontId="0" fillId="18" borderId="3" xfId="0" applyNumberFormat="1" applyFill="1" applyBorder="1" applyAlignment="1" applyProtection="1">
      <alignment horizontal="center"/>
      <protection locked="0"/>
    </xf>
    <xf numFmtId="2" fontId="0" fillId="0" borderId="2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102" xfId="0" applyNumberForma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2" fontId="0" fillId="0" borderId="48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66" fontId="0" fillId="0" borderId="66" xfId="0" applyNumberFormat="1" applyBorder="1" applyAlignment="1">
      <alignment horizontal="center"/>
    </xf>
    <xf numFmtId="10" fontId="0" fillId="0" borderId="0" xfId="0" applyNumberFormat="1"/>
    <xf numFmtId="10" fontId="0" fillId="0" borderId="0" xfId="0" applyNumberFormat="1" applyFill="1" applyBorder="1" applyAlignment="1">
      <alignment horizontal="center"/>
    </xf>
    <xf numFmtId="0" fontId="2" fillId="0" borderId="0" xfId="0" applyFont="1" applyAlignment="1"/>
    <xf numFmtId="2" fontId="20" fillId="0" borderId="0" xfId="0" applyNumberFormat="1" applyFont="1" applyProtection="1"/>
    <xf numFmtId="0" fontId="0" fillId="0" borderId="20" xfId="0" applyBorder="1" applyAlignment="1"/>
    <xf numFmtId="0" fontId="0" fillId="0" borderId="22" xfId="0" applyBorder="1" applyAlignment="1"/>
    <xf numFmtId="0" fontId="21" fillId="25" borderId="22" xfId="2" applyBorder="1" applyAlignment="1"/>
    <xf numFmtId="0" fontId="21" fillId="25" borderId="20" xfId="2" applyBorder="1" applyAlignment="1"/>
    <xf numFmtId="9" fontId="21" fillId="25" borderId="20" xfId="2" applyNumberFormat="1" applyBorder="1" applyAlignment="1"/>
    <xf numFmtId="1" fontId="21" fillId="25" borderId="20" xfId="2" applyNumberFormat="1" applyBorder="1" applyAlignment="1"/>
    <xf numFmtId="166" fontId="0" fillId="0" borderId="20" xfId="0" applyNumberFormat="1" applyBorder="1" applyAlignment="1"/>
    <xf numFmtId="0" fontId="0" fillId="0" borderId="20" xfId="0" applyFill="1" applyBorder="1" applyAlignment="1"/>
    <xf numFmtId="167" fontId="0" fillId="0" borderId="0" xfId="3" applyFont="1" applyAlignment="1"/>
    <xf numFmtId="9" fontId="0" fillId="0" borderId="0" xfId="0" applyNumberFormat="1" applyAlignment="1"/>
    <xf numFmtId="1" fontId="21" fillId="25" borderId="22" xfId="2" applyNumberFormat="1" applyBorder="1" applyAlignment="1"/>
    <xf numFmtId="2" fontId="0" fillId="0" borderId="22" xfId="0" applyNumberFormat="1" applyBorder="1" applyAlignment="1"/>
    <xf numFmtId="1" fontId="0" fillId="0" borderId="20" xfId="0" applyNumberFormat="1" applyBorder="1" applyAlignment="1"/>
    <xf numFmtId="1" fontId="0" fillId="0" borderId="22" xfId="0" applyNumberFormat="1" applyBorder="1" applyAlignment="1"/>
    <xf numFmtId="1" fontId="0" fillId="0" borderId="0" xfId="0" applyNumberFormat="1" applyAlignment="1"/>
    <xf numFmtId="0" fontId="22" fillId="0" borderId="0" xfId="0" applyFont="1" applyBorder="1" applyAlignment="1">
      <alignment horizontal="left"/>
    </xf>
    <xf numFmtId="0" fontId="0" fillId="0" borderId="22" xfId="0" applyFill="1" applyBorder="1" applyAlignment="1"/>
    <xf numFmtId="0" fontId="0" fillId="0" borderId="47" xfId="0" applyBorder="1" applyAlignment="1"/>
    <xf numFmtId="0" fontId="0" fillId="0" borderId="0" xfId="0" applyBorder="1" applyAlignment="1">
      <alignment horizontal="left"/>
    </xf>
    <xf numFmtId="0" fontId="21" fillId="25" borderId="47" xfId="2" applyBorder="1" applyAlignment="1"/>
    <xf numFmtId="0" fontId="0" fillId="0" borderId="20" xfId="0" applyBorder="1" applyAlignment="1">
      <alignment horizontal="right"/>
    </xf>
    <xf numFmtId="166" fontId="0" fillId="0" borderId="0" xfId="0" applyNumberFormat="1" applyAlignment="1"/>
    <xf numFmtId="0" fontId="0" fillId="0" borderId="60" xfId="0" applyBorder="1" applyAlignment="1"/>
    <xf numFmtId="0" fontId="0" fillId="0" borderId="20" xfId="0" applyFont="1" applyBorder="1" applyAlignment="1">
      <alignment horizontal="left"/>
    </xf>
    <xf numFmtId="0" fontId="21" fillId="25" borderId="20" xfId="2" applyBorder="1" applyAlignment="1">
      <alignment horizontal="right"/>
    </xf>
    <xf numFmtId="0" fontId="0" fillId="0" borderId="20" xfId="0" applyBorder="1" applyAlignment="1">
      <alignment horizontal="left" vertical="center"/>
    </xf>
    <xf numFmtId="0" fontId="0" fillId="0" borderId="20" xfId="0" applyNumberFormat="1" applyBorder="1" applyAlignment="1"/>
    <xf numFmtId="0" fontId="0" fillId="0" borderId="20" xfId="0" applyNumberFormat="1" applyBorder="1" applyAlignment="1">
      <alignment horizontal="center"/>
    </xf>
    <xf numFmtId="2" fontId="0" fillId="0" borderId="20" xfId="0" applyNumberFormat="1" applyBorder="1" applyAlignment="1"/>
    <xf numFmtId="0" fontId="22" fillId="0" borderId="0" xfId="0" applyFont="1"/>
    <xf numFmtId="168" fontId="0" fillId="0" borderId="0" xfId="0" applyNumberFormat="1"/>
    <xf numFmtId="169" fontId="0" fillId="0" borderId="0" xfId="0" applyNumberFormat="1"/>
    <xf numFmtId="0" fontId="2" fillId="0" borderId="6" xfId="0" applyFont="1" applyFill="1" applyBorder="1"/>
    <xf numFmtId="2" fontId="0" fillId="0" borderId="0" xfId="0" applyNumberFormat="1" applyProtection="1"/>
    <xf numFmtId="0" fontId="2" fillId="0" borderId="0" xfId="0" applyFont="1" applyProtection="1"/>
    <xf numFmtId="2" fontId="0" fillId="0" borderId="0" xfId="0" applyNumberFormat="1" applyBorder="1"/>
    <xf numFmtId="1" fontId="0" fillId="0" borderId="0" xfId="0" applyNumberFormat="1" applyProtection="1"/>
    <xf numFmtId="9" fontId="0" fillId="0" borderId="0" xfId="1" applyFont="1" applyProtection="1"/>
    <xf numFmtId="170" fontId="0" fillId="0" borderId="0" xfId="0" applyNumberFormat="1" applyProtection="1"/>
    <xf numFmtId="165" fontId="0" fillId="0" borderId="0" xfId="0" applyNumberFormat="1" applyProtection="1"/>
    <xf numFmtId="2" fontId="2" fillId="0" borderId="0" xfId="0" applyNumberFormat="1" applyFont="1" applyProtection="1"/>
    <xf numFmtId="1" fontId="2" fillId="0" borderId="0" xfId="0" applyNumberFormat="1" applyFont="1" applyBorder="1" applyProtection="1"/>
    <xf numFmtId="2" fontId="0" fillId="18" borderId="2" xfId="0" applyNumberFormat="1" applyFill="1" applyBorder="1" applyAlignment="1" applyProtection="1">
      <alignment horizontal="center"/>
      <protection locked="0"/>
    </xf>
    <xf numFmtId="9" fontId="0" fillId="18" borderId="22" xfId="0" applyNumberFormat="1" applyFill="1" applyBorder="1" applyAlignment="1" applyProtection="1">
      <alignment horizontal="center"/>
      <protection locked="0"/>
    </xf>
    <xf numFmtId="2" fontId="0" fillId="18" borderId="38" xfId="0" applyNumberFormat="1" applyFill="1" applyBorder="1" applyAlignment="1" applyProtection="1">
      <alignment horizontal="center"/>
      <protection locked="0"/>
    </xf>
    <xf numFmtId="2" fontId="0" fillId="0" borderId="0" xfId="0" applyNumberFormat="1" applyFill="1" applyProtection="1"/>
    <xf numFmtId="0" fontId="0" fillId="15" borderId="0" xfId="0" applyFill="1" applyBorder="1" applyProtection="1"/>
    <xf numFmtId="0" fontId="22" fillId="0" borderId="16" xfId="0" applyFont="1" applyBorder="1" applyAlignment="1">
      <alignment horizontal="left"/>
    </xf>
    <xf numFmtId="0" fontId="22" fillId="0" borderId="37" xfId="0" applyFont="1" applyBorder="1" applyAlignment="1">
      <alignment horizontal="left"/>
    </xf>
    <xf numFmtId="0" fontId="22" fillId="0" borderId="40" xfId="0" applyFont="1" applyBorder="1" applyAlignment="1">
      <alignment horizontal="left"/>
    </xf>
    <xf numFmtId="0" fontId="22" fillId="0" borderId="28" xfId="0" applyFont="1" applyBorder="1" applyAlignment="1">
      <alignment horizontal="left"/>
    </xf>
    <xf numFmtId="0" fontId="22" fillId="0" borderId="44" xfId="0" applyFont="1" applyBorder="1" applyAlignment="1">
      <alignment horizontal="left"/>
    </xf>
    <xf numFmtId="0" fontId="22" fillId="0" borderId="23" xfId="0" applyFont="1" applyBorder="1" applyAlignment="1">
      <alignment horizontal="left"/>
    </xf>
    <xf numFmtId="0" fontId="12" fillId="19" borderId="16" xfId="0" applyFont="1" applyFill="1" applyBorder="1" applyAlignment="1">
      <alignment horizontal="center" vertical="center"/>
    </xf>
    <xf numFmtId="0" fontId="0" fillId="19" borderId="37" xfId="0" applyFill="1" applyBorder="1" applyAlignment="1">
      <alignment horizontal="center" vertical="center"/>
    </xf>
    <xf numFmtId="0" fontId="0" fillId="19" borderId="40" xfId="0" applyFill="1" applyBorder="1" applyAlignment="1">
      <alignment horizontal="center" vertical="center"/>
    </xf>
    <xf numFmtId="0" fontId="14" fillId="18" borderId="19" xfId="0" applyFont="1" applyFill="1" applyBorder="1" applyAlignment="1">
      <alignment horizontal="center" vertical="center"/>
    </xf>
    <xf numFmtId="0" fontId="14" fillId="18" borderId="30" xfId="0" applyFont="1" applyFill="1" applyBorder="1" applyAlignment="1">
      <alignment horizontal="center" vertical="center"/>
    </xf>
    <xf numFmtId="0" fontId="14" fillId="18" borderId="31" xfId="0" applyFont="1" applyFill="1" applyBorder="1" applyAlignment="1">
      <alignment horizontal="center" vertical="center"/>
    </xf>
    <xf numFmtId="0" fontId="14" fillId="18" borderId="32" xfId="0" applyFont="1" applyFill="1" applyBorder="1" applyAlignment="1">
      <alignment horizontal="center" vertical="center"/>
    </xf>
    <xf numFmtId="0" fontId="14" fillId="18" borderId="24" xfId="0" applyFont="1" applyFill="1" applyBorder="1" applyAlignment="1">
      <alignment horizontal="center" vertical="center"/>
    </xf>
    <xf numFmtId="0" fontId="14" fillId="18" borderId="34" xfId="0" applyFont="1" applyFill="1" applyBorder="1" applyAlignment="1">
      <alignment horizontal="center" vertical="center"/>
    </xf>
    <xf numFmtId="0" fontId="0" fillId="19" borderId="16" xfId="0" applyFill="1" applyBorder="1" applyAlignment="1">
      <alignment horizontal="center" vertical="center"/>
    </xf>
    <xf numFmtId="0" fontId="14" fillId="18" borderId="17" xfId="0" applyFont="1" applyFill="1" applyBorder="1" applyAlignment="1" applyProtection="1">
      <alignment horizontal="center" vertical="center"/>
      <protection locked="0"/>
    </xf>
    <xf numFmtId="0" fontId="0" fillId="18" borderId="41" xfId="0" applyFill="1" applyBorder="1" applyProtection="1">
      <protection locked="0"/>
    </xf>
    <xf numFmtId="0" fontId="0" fillId="18" borderId="25" xfId="0" applyFill="1" applyBorder="1" applyProtection="1">
      <protection locked="0"/>
    </xf>
    <xf numFmtId="0" fontId="12" fillId="19" borderId="37" xfId="0" applyFont="1" applyFill="1" applyBorder="1" applyAlignment="1">
      <alignment horizontal="center" vertical="center"/>
    </xf>
    <xf numFmtId="0" fontId="5" fillId="18" borderId="19" xfId="0" applyFont="1" applyFill="1" applyBorder="1" applyAlignment="1">
      <alignment horizontal="center" vertical="center" wrapText="1"/>
    </xf>
    <xf numFmtId="0" fontId="5" fillId="18" borderId="29" xfId="0" applyFont="1" applyFill="1" applyBorder="1" applyAlignment="1">
      <alignment horizontal="center" vertical="center" wrapText="1"/>
    </xf>
    <xf numFmtId="0" fontId="5" fillId="18" borderId="30" xfId="0" applyFont="1" applyFill="1" applyBorder="1" applyAlignment="1">
      <alignment horizontal="center" vertical="center" wrapText="1"/>
    </xf>
    <xf numFmtId="0" fontId="5" fillId="18" borderId="31" xfId="0" applyFont="1" applyFill="1" applyBorder="1" applyAlignment="1">
      <alignment horizontal="center" vertical="center" wrapText="1"/>
    </xf>
    <xf numFmtId="0" fontId="5" fillId="18" borderId="0" xfId="0" applyFont="1" applyFill="1" applyBorder="1" applyAlignment="1">
      <alignment horizontal="center" vertical="center" wrapText="1"/>
    </xf>
    <xf numFmtId="0" fontId="5" fillId="18" borderId="32" xfId="0" applyFont="1" applyFill="1" applyBorder="1" applyAlignment="1">
      <alignment horizontal="center" vertical="center" wrapText="1"/>
    </xf>
    <xf numFmtId="0" fontId="5" fillId="18" borderId="24" xfId="0" applyFont="1" applyFill="1" applyBorder="1" applyAlignment="1">
      <alignment horizontal="center" vertical="center" wrapText="1"/>
    </xf>
    <xf numFmtId="0" fontId="5" fillId="18" borderId="33" xfId="0" applyFont="1" applyFill="1" applyBorder="1" applyAlignment="1">
      <alignment horizontal="center" vertical="center" wrapText="1"/>
    </xf>
    <xf numFmtId="0" fontId="5" fillId="18" borderId="34" xfId="0" applyFont="1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5" fillId="18" borderId="11" xfId="0" applyFont="1" applyFill="1" applyBorder="1" applyAlignment="1" applyProtection="1">
      <alignment horizontal="center" vertical="center"/>
    </xf>
    <xf numFmtId="0" fontId="0" fillId="18" borderId="106" xfId="0" applyFill="1" applyBorder="1" applyAlignment="1">
      <alignment horizontal="center" vertical="center"/>
    </xf>
    <xf numFmtId="0" fontId="0" fillId="18" borderId="104" xfId="0" applyFill="1" applyBorder="1" applyAlignment="1">
      <alignment horizontal="center" vertical="center"/>
    </xf>
    <xf numFmtId="0" fontId="0" fillId="0" borderId="5" xfId="0" applyFill="1" applyBorder="1" applyAlignment="1" applyProtection="1"/>
    <xf numFmtId="0" fontId="0" fillId="0" borderId="20" xfId="0" applyBorder="1" applyAlignment="1"/>
    <xf numFmtId="0" fontId="12" fillId="0" borderId="21" xfId="0" applyFont="1" applyFill="1" applyBorder="1" applyAlignment="1" applyProtection="1"/>
    <xf numFmtId="0" fontId="0" fillId="0" borderId="49" xfId="0" applyBorder="1" applyAlignment="1"/>
    <xf numFmtId="0" fontId="12" fillId="18" borderId="19" xfId="0" applyFont="1" applyFill="1" applyBorder="1" applyAlignment="1">
      <alignment horizontal="center" vertical="center" wrapText="1"/>
    </xf>
    <xf numFmtId="0" fontId="0" fillId="18" borderId="29" xfId="0" applyFill="1" applyBorder="1" applyAlignment="1">
      <alignment horizontal="center" vertical="center" wrapText="1"/>
    </xf>
    <xf numFmtId="0" fontId="0" fillId="18" borderId="30" xfId="0" applyFill="1" applyBorder="1" applyAlignment="1">
      <alignment horizontal="center" vertical="center" wrapText="1"/>
    </xf>
    <xf numFmtId="0" fontId="0" fillId="18" borderId="24" xfId="0" applyFill="1" applyBorder="1" applyAlignment="1">
      <alignment horizontal="center" vertical="center" wrapText="1"/>
    </xf>
    <xf numFmtId="0" fontId="0" fillId="18" borderId="33" xfId="0" applyFill="1" applyBorder="1" applyAlignment="1">
      <alignment horizontal="center" vertical="center" wrapText="1"/>
    </xf>
    <xf numFmtId="0" fontId="0" fillId="18" borderId="34" xfId="0" applyFill="1" applyBorder="1" applyAlignment="1">
      <alignment horizontal="center" vertical="center" wrapText="1"/>
    </xf>
    <xf numFmtId="2" fontId="0" fillId="0" borderId="87" xfId="0" applyNumberFormat="1" applyBorder="1" applyAlignment="1">
      <alignment horizontal="center"/>
    </xf>
    <xf numFmtId="2" fontId="0" fillId="0" borderId="88" xfId="0" applyNumberFormat="1" applyBorder="1" applyAlignment="1">
      <alignment horizontal="center"/>
    </xf>
    <xf numFmtId="0" fontId="0" fillId="2" borderId="87" xfId="0" applyFill="1" applyBorder="1" applyAlignment="1">
      <alignment horizontal="center"/>
    </xf>
    <xf numFmtId="0" fontId="0" fillId="2" borderId="88" xfId="0" applyFill="1" applyBorder="1" applyAlignment="1">
      <alignment horizontal="center"/>
    </xf>
    <xf numFmtId="0" fontId="2" fillId="2" borderId="86" xfId="0" applyFont="1" applyFill="1" applyBorder="1" applyAlignment="1">
      <alignment horizontal="center"/>
    </xf>
    <xf numFmtId="0" fontId="2" fillId="2" borderId="87" xfId="0" applyFont="1" applyFill="1" applyBorder="1" applyAlignment="1">
      <alignment horizontal="center"/>
    </xf>
    <xf numFmtId="0" fontId="2" fillId="2" borderId="88" xfId="0" applyFont="1" applyFill="1" applyBorder="1" applyAlignment="1">
      <alignment horizontal="center"/>
    </xf>
    <xf numFmtId="0" fontId="12" fillId="14" borderId="17" xfId="0" applyFont="1" applyFill="1" applyBorder="1" applyAlignment="1">
      <alignment horizontal="center" vertical="center" wrapText="1"/>
    </xf>
    <xf numFmtId="0" fontId="0" fillId="14" borderId="41" xfId="0" applyFill="1" applyBorder="1" applyAlignment="1">
      <alignment horizontal="center" vertical="center" wrapText="1"/>
    </xf>
    <xf numFmtId="0" fontId="0" fillId="14" borderId="25" xfId="0" applyFill="1" applyBorder="1" applyAlignment="1">
      <alignment horizontal="center" vertical="center" wrapText="1"/>
    </xf>
    <xf numFmtId="0" fontId="5" fillId="18" borderId="17" xfId="0" applyFont="1" applyFill="1" applyBorder="1" applyAlignment="1" applyProtection="1">
      <alignment horizontal="center" vertical="center" wrapText="1"/>
      <protection locked="0"/>
    </xf>
    <xf numFmtId="0" fontId="5" fillId="18" borderId="41" xfId="0" applyFont="1" applyFill="1" applyBorder="1" applyAlignment="1" applyProtection="1">
      <alignment horizontal="center" vertical="center" wrapText="1"/>
      <protection locked="0"/>
    </xf>
    <xf numFmtId="0" fontId="5" fillId="18" borderId="25" xfId="0" applyFont="1" applyFill="1" applyBorder="1" applyAlignment="1" applyProtection="1">
      <alignment horizontal="center" vertical="center" wrapText="1"/>
      <protection locked="0"/>
    </xf>
    <xf numFmtId="0" fontId="12" fillId="18" borderId="19" xfId="0" applyFont="1" applyFill="1" applyBorder="1" applyAlignment="1">
      <alignment horizontal="center" vertical="center"/>
    </xf>
    <xf numFmtId="0" fontId="0" fillId="18" borderId="29" xfId="0" applyFill="1" applyBorder="1" applyAlignment="1">
      <alignment horizontal="center" vertical="center"/>
    </xf>
    <xf numFmtId="0" fontId="0" fillId="18" borderId="30" xfId="0" applyFill="1" applyBorder="1" applyAlignment="1">
      <alignment horizontal="center" vertical="center"/>
    </xf>
    <xf numFmtId="0" fontId="0" fillId="18" borderId="24" xfId="0" applyFill="1" applyBorder="1" applyAlignment="1">
      <alignment horizontal="center" vertical="center"/>
    </xf>
    <xf numFmtId="0" fontId="0" fillId="18" borderId="33" xfId="0" applyFill="1" applyBorder="1" applyAlignment="1">
      <alignment horizontal="center" vertical="center"/>
    </xf>
    <xf numFmtId="0" fontId="0" fillId="18" borderId="34" xfId="0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2" fillId="14" borderId="19" xfId="0" applyFont="1" applyFill="1" applyBorder="1" applyAlignment="1">
      <alignment horizontal="center" vertical="center"/>
    </xf>
    <xf numFmtId="0" fontId="0" fillId="14" borderId="29" xfId="0" applyFill="1" applyBorder="1" applyAlignment="1">
      <alignment horizontal="center" vertical="center"/>
    </xf>
    <xf numFmtId="0" fontId="0" fillId="14" borderId="30" xfId="0" applyFill="1" applyBorder="1" applyAlignment="1">
      <alignment horizontal="center" vertical="center"/>
    </xf>
    <xf numFmtId="0" fontId="12" fillId="14" borderId="16" xfId="0" applyFont="1" applyFill="1" applyBorder="1" applyAlignment="1">
      <alignment horizontal="center" vertical="center"/>
    </xf>
    <xf numFmtId="0" fontId="0" fillId="14" borderId="37" xfId="0" applyFill="1" applyBorder="1" applyAlignment="1">
      <alignment horizontal="center" vertical="center"/>
    </xf>
    <xf numFmtId="0" fontId="0" fillId="14" borderId="40" xfId="0" applyFill="1" applyBorder="1" applyAlignment="1">
      <alignment horizontal="center" vertical="center"/>
    </xf>
    <xf numFmtId="0" fontId="14" fillId="18" borderId="19" xfId="0" applyFont="1" applyFill="1" applyBorder="1" applyAlignment="1" applyProtection="1">
      <alignment horizontal="center" vertical="center"/>
      <protection locked="0"/>
    </xf>
    <xf numFmtId="0" fontId="14" fillId="18" borderId="29" xfId="0" applyFont="1" applyFill="1" applyBorder="1" applyAlignment="1" applyProtection="1">
      <alignment horizontal="center" vertical="center"/>
      <protection locked="0"/>
    </xf>
    <xf numFmtId="0" fontId="14" fillId="18" borderId="30" xfId="0" applyFont="1" applyFill="1" applyBorder="1" applyAlignment="1" applyProtection="1">
      <alignment horizontal="center" vertical="center"/>
      <protection locked="0"/>
    </xf>
    <xf numFmtId="0" fontId="14" fillId="18" borderId="31" xfId="0" applyFont="1" applyFill="1" applyBorder="1" applyAlignment="1" applyProtection="1">
      <alignment horizontal="center" vertical="center"/>
      <protection locked="0"/>
    </xf>
    <xf numFmtId="0" fontId="14" fillId="18" borderId="0" xfId="0" applyFont="1" applyFill="1" applyBorder="1" applyAlignment="1" applyProtection="1">
      <alignment horizontal="center" vertical="center"/>
      <protection locked="0"/>
    </xf>
    <xf numFmtId="0" fontId="14" fillId="18" borderId="32" xfId="0" applyFont="1" applyFill="1" applyBorder="1" applyAlignment="1" applyProtection="1">
      <alignment horizontal="center" vertical="center"/>
      <protection locked="0"/>
    </xf>
    <xf numFmtId="0" fontId="14" fillId="18" borderId="24" xfId="0" applyFont="1" applyFill="1" applyBorder="1" applyAlignment="1" applyProtection="1">
      <alignment horizontal="center" vertical="center"/>
      <protection locked="0"/>
    </xf>
    <xf numFmtId="0" fontId="14" fillId="18" borderId="33" xfId="0" applyFont="1" applyFill="1" applyBorder="1" applyAlignment="1" applyProtection="1">
      <alignment horizontal="center" vertical="center"/>
      <protection locked="0"/>
    </xf>
    <xf numFmtId="0" fontId="14" fillId="18" borderId="34" xfId="0" applyFont="1" applyFill="1" applyBorder="1" applyAlignment="1" applyProtection="1">
      <alignment horizontal="center" vertical="center"/>
      <protection locked="0"/>
    </xf>
    <xf numFmtId="0" fontId="14" fillId="14" borderId="19" xfId="0" applyFont="1" applyFill="1" applyBorder="1" applyAlignment="1">
      <alignment horizontal="center" vertical="center"/>
    </xf>
    <xf numFmtId="0" fontId="14" fillId="14" borderId="30" xfId="0" applyFont="1" applyFill="1" applyBorder="1" applyAlignment="1">
      <alignment horizontal="center" vertical="center"/>
    </xf>
    <xf numFmtId="0" fontId="14" fillId="14" borderId="31" xfId="0" applyFont="1" applyFill="1" applyBorder="1" applyAlignment="1">
      <alignment horizontal="center" vertical="center"/>
    </xf>
    <xf numFmtId="0" fontId="14" fillId="14" borderId="32" xfId="0" applyFont="1" applyFill="1" applyBorder="1" applyAlignment="1">
      <alignment horizontal="center" vertical="center"/>
    </xf>
    <xf numFmtId="0" fontId="14" fillId="14" borderId="24" xfId="0" applyFont="1" applyFill="1" applyBorder="1" applyAlignment="1">
      <alignment horizontal="center" vertical="center"/>
    </xf>
    <xf numFmtId="0" fontId="14" fillId="14" borderId="34" xfId="0" applyFont="1" applyFill="1" applyBorder="1" applyAlignment="1">
      <alignment horizontal="center" vertical="center"/>
    </xf>
    <xf numFmtId="2" fontId="0" fillId="22" borderId="63" xfId="0" applyNumberFormat="1" applyFill="1" applyBorder="1" applyAlignment="1">
      <alignment horizontal="center"/>
    </xf>
    <xf numFmtId="2" fontId="0" fillId="22" borderId="37" xfId="0" applyNumberFormat="1" applyFill="1" applyBorder="1" applyAlignment="1">
      <alignment horizontal="center"/>
    </xf>
    <xf numFmtId="0" fontId="4" fillId="17" borderId="37" xfId="0" applyFont="1" applyFill="1" applyBorder="1" applyAlignment="1">
      <alignment horizontal="center" vertical="center"/>
    </xf>
    <xf numFmtId="0" fontId="0" fillId="20" borderId="44" xfId="0" applyFill="1" applyBorder="1" applyAlignment="1">
      <alignment horizontal="center"/>
    </xf>
    <xf numFmtId="0" fontId="0" fillId="20" borderId="63" xfId="0" applyFill="1" applyBorder="1" applyAlignment="1">
      <alignment horizontal="center"/>
    </xf>
    <xf numFmtId="0" fontId="0" fillId="20" borderId="37" xfId="0" applyFill="1" applyBorder="1" applyAlignment="1">
      <alignment horizontal="center"/>
    </xf>
    <xf numFmtId="0" fontId="5" fillId="20" borderId="19" xfId="0" applyFont="1" applyFill="1" applyBorder="1" applyAlignment="1">
      <alignment horizontal="center" vertical="center"/>
    </xf>
    <xf numFmtId="0" fontId="5" fillId="20" borderId="31" xfId="0" applyFont="1" applyFill="1" applyBorder="1" applyAlignment="1">
      <alignment horizontal="center" vertical="center"/>
    </xf>
    <xf numFmtId="0" fontId="5" fillId="20" borderId="24" xfId="0" applyFont="1" applyFill="1" applyBorder="1" applyAlignment="1">
      <alignment horizontal="center" vertical="center"/>
    </xf>
    <xf numFmtId="0" fontId="5" fillId="20" borderId="17" xfId="0" applyFont="1" applyFill="1" applyBorder="1" applyAlignment="1">
      <alignment horizontal="center" vertical="center"/>
    </xf>
    <xf numFmtId="0" fontId="5" fillId="20" borderId="41" xfId="0" applyFont="1" applyFill="1" applyBorder="1" applyAlignment="1">
      <alignment horizontal="center" vertical="center"/>
    </xf>
    <xf numFmtId="0" fontId="5" fillId="20" borderId="25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wrapText="1"/>
    </xf>
    <xf numFmtId="0" fontId="0" fillId="13" borderId="30" xfId="0" applyFill="1" applyBorder="1" applyAlignment="1">
      <alignment horizontal="center" wrapText="1"/>
    </xf>
    <xf numFmtId="0" fontId="0" fillId="13" borderId="24" xfId="0" applyFill="1" applyBorder="1" applyAlignment="1">
      <alignment horizontal="center" wrapText="1"/>
    </xf>
    <xf numFmtId="0" fontId="0" fillId="13" borderId="34" xfId="0" applyFill="1" applyBorder="1" applyAlignment="1">
      <alignment horizontal="center" wrapText="1"/>
    </xf>
    <xf numFmtId="2" fontId="5" fillId="22" borderId="19" xfId="0" applyNumberFormat="1" applyFont="1" applyFill="1" applyBorder="1" applyAlignment="1">
      <alignment horizontal="center" vertical="center"/>
    </xf>
    <xf numFmtId="2" fontId="5" fillId="22" borderId="30" xfId="0" applyNumberFormat="1" applyFont="1" applyFill="1" applyBorder="1" applyAlignment="1">
      <alignment horizontal="center" vertical="center"/>
    </xf>
    <xf numFmtId="2" fontId="5" fillId="22" borderId="24" xfId="0" applyNumberFormat="1" applyFont="1" applyFill="1" applyBorder="1" applyAlignment="1">
      <alignment horizontal="center" vertical="center"/>
    </xf>
    <xf numFmtId="2" fontId="5" fillId="22" borderId="34" xfId="0" applyNumberFormat="1" applyFont="1" applyFill="1" applyBorder="1" applyAlignment="1">
      <alignment horizontal="center" vertical="center"/>
    </xf>
    <xf numFmtId="2" fontId="12" fillId="17" borderId="17" xfId="0" applyNumberFormat="1" applyFont="1" applyFill="1" applyBorder="1" applyAlignment="1" applyProtection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8" fillId="20" borderId="16" xfId="0" applyFont="1" applyFill="1" applyBorder="1" applyAlignment="1" applyProtection="1">
      <alignment horizontal="center" vertical="center"/>
    </xf>
    <xf numFmtId="0" fontId="0" fillId="20" borderId="37" xfId="0" applyFill="1" applyBorder="1" applyAlignment="1" applyProtection="1">
      <alignment horizontal="center" vertical="center"/>
    </xf>
    <xf numFmtId="0" fontId="0" fillId="20" borderId="40" xfId="0" applyFill="1" applyBorder="1" applyAlignment="1" applyProtection="1">
      <alignment horizontal="center" vertical="center"/>
    </xf>
    <xf numFmtId="0" fontId="5" fillId="0" borderId="16" xfId="0" applyFont="1" applyBorder="1" applyAlignment="1" applyProtection="1">
      <alignment horizontal="center" vertical="center"/>
    </xf>
    <xf numFmtId="0" fontId="5" fillId="0" borderId="37" xfId="0" applyFont="1" applyBorder="1" applyAlignment="1" applyProtection="1">
      <alignment horizontal="center" vertical="center"/>
    </xf>
    <xf numFmtId="0" fontId="5" fillId="0" borderId="40" xfId="0" applyFont="1" applyBorder="1" applyAlignment="1" applyProtection="1">
      <alignment horizontal="center" vertical="center"/>
    </xf>
    <xf numFmtId="0" fontId="7" fillId="20" borderId="19" xfId="0" applyFont="1" applyFill="1" applyBorder="1" applyAlignment="1" applyProtection="1">
      <alignment horizontal="center" vertical="center" wrapText="1"/>
    </xf>
    <xf numFmtId="0" fontId="7" fillId="20" borderId="29" xfId="0" applyFont="1" applyFill="1" applyBorder="1" applyAlignment="1" applyProtection="1">
      <alignment horizontal="center" vertical="center" wrapText="1"/>
    </xf>
    <xf numFmtId="0" fontId="7" fillId="20" borderId="30" xfId="0" applyFont="1" applyFill="1" applyBorder="1" applyAlignment="1" applyProtection="1">
      <alignment horizontal="center" vertical="center" wrapText="1"/>
    </xf>
    <xf numFmtId="0" fontId="7" fillId="20" borderId="24" xfId="0" applyFont="1" applyFill="1" applyBorder="1" applyAlignment="1" applyProtection="1">
      <alignment horizontal="center" vertical="center" wrapText="1"/>
    </xf>
    <xf numFmtId="0" fontId="7" fillId="20" borderId="33" xfId="0" applyFont="1" applyFill="1" applyBorder="1" applyAlignment="1" applyProtection="1">
      <alignment horizontal="center" vertical="center" wrapText="1"/>
    </xf>
    <xf numFmtId="0" fontId="7" fillId="20" borderId="34" xfId="0" applyFont="1" applyFill="1" applyBorder="1" applyAlignment="1" applyProtection="1">
      <alignment horizontal="center" vertical="center" wrapText="1"/>
    </xf>
    <xf numFmtId="0" fontId="5" fillId="7" borderId="16" xfId="0" applyFont="1" applyFill="1" applyBorder="1" applyAlignment="1" applyProtection="1">
      <alignment horizontal="center" vertical="center" wrapText="1"/>
    </xf>
    <xf numFmtId="0" fontId="5" fillId="7" borderId="37" xfId="0" applyFont="1" applyFill="1" applyBorder="1" applyAlignment="1" applyProtection="1">
      <alignment horizontal="center" vertical="center" wrapText="1"/>
    </xf>
    <xf numFmtId="0" fontId="5" fillId="7" borderId="40" xfId="0" applyFont="1" applyFill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5" fillId="0" borderId="37" xfId="0" applyFont="1" applyBorder="1" applyAlignment="1" applyProtection="1">
      <alignment horizontal="center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0" fillId="0" borderId="31" xfId="0" applyFill="1" applyBorder="1" applyAlignment="1" applyProtection="1">
      <alignment wrapText="1"/>
    </xf>
    <xf numFmtId="0" fontId="0" fillId="0" borderId="37" xfId="0" applyBorder="1" applyAlignment="1" applyProtection="1">
      <alignment horizontal="center" vertical="center" wrapText="1"/>
    </xf>
    <xf numFmtId="0" fontId="0" fillId="0" borderId="40" xfId="0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wrapText="1"/>
    </xf>
    <xf numFmtId="0" fontId="16" fillId="20" borderId="16" xfId="0" applyFont="1" applyFill="1" applyBorder="1" applyAlignment="1" applyProtection="1">
      <alignment horizontal="center" vertical="center"/>
    </xf>
    <xf numFmtId="0" fontId="16" fillId="20" borderId="37" xfId="0" applyFont="1" applyFill="1" applyBorder="1" applyAlignment="1" applyProtection="1">
      <alignment horizontal="center" vertical="center"/>
    </xf>
    <xf numFmtId="0" fontId="16" fillId="20" borderId="40" xfId="0" applyFont="1" applyFill="1" applyBorder="1" applyAlignment="1" applyProtection="1">
      <alignment horizontal="center" vertical="center"/>
    </xf>
    <xf numFmtId="0" fontId="5" fillId="4" borderId="16" xfId="0" applyFont="1" applyFill="1" applyBorder="1" applyAlignment="1" applyProtection="1">
      <alignment horizontal="center"/>
    </xf>
    <xf numFmtId="0" fontId="0" fillId="0" borderId="37" xfId="0" applyBorder="1" applyAlignment="1" applyProtection="1">
      <alignment horizontal="center"/>
    </xf>
    <xf numFmtId="0" fontId="0" fillId="0" borderId="40" xfId="0" applyBorder="1" applyAlignment="1" applyProtection="1">
      <alignment horizontal="center"/>
    </xf>
    <xf numFmtId="0" fontId="5" fillId="9" borderId="16" xfId="0" applyFont="1" applyFill="1" applyBorder="1" applyAlignment="1" applyProtection="1">
      <alignment horizontal="center"/>
    </xf>
    <xf numFmtId="0" fontId="5" fillId="20" borderId="19" xfId="0" applyFont="1" applyFill="1" applyBorder="1" applyAlignment="1" applyProtection="1">
      <alignment horizontal="center" vertical="center"/>
    </xf>
    <xf numFmtId="0" fontId="5" fillId="20" borderId="31" xfId="0" applyFont="1" applyFill="1" applyBorder="1" applyAlignment="1" applyProtection="1">
      <alignment horizontal="center" vertical="center"/>
    </xf>
    <xf numFmtId="0" fontId="5" fillId="20" borderId="24" xfId="0" applyFont="1" applyFill="1" applyBorder="1" applyAlignment="1" applyProtection="1">
      <alignment horizontal="center" vertical="center"/>
    </xf>
    <xf numFmtId="0" fontId="5" fillId="20" borderId="17" xfId="0" applyFont="1" applyFill="1" applyBorder="1" applyAlignment="1" applyProtection="1">
      <alignment horizontal="center" vertical="center"/>
    </xf>
    <xf numFmtId="0" fontId="5" fillId="20" borderId="41" xfId="0" applyFont="1" applyFill="1" applyBorder="1" applyAlignment="1" applyProtection="1">
      <alignment horizontal="center" vertical="center"/>
    </xf>
    <xf numFmtId="0" fontId="5" fillId="20" borderId="25" xfId="0" applyFont="1" applyFill="1" applyBorder="1" applyAlignment="1" applyProtection="1">
      <alignment horizontal="center" vertical="center"/>
    </xf>
    <xf numFmtId="2" fontId="12" fillId="16" borderId="17" xfId="0" applyNumberFormat="1" applyFont="1" applyFill="1" applyBorder="1" applyAlignment="1" applyProtection="1">
      <alignment horizontal="center" vertical="center" wrapText="1"/>
    </xf>
    <xf numFmtId="0" fontId="0" fillId="16" borderId="41" xfId="0" applyFill="1" applyBorder="1" applyAlignment="1">
      <alignment vertical="center" wrapText="1"/>
    </xf>
    <xf numFmtId="0" fontId="0" fillId="16" borderId="25" xfId="0" applyFill="1" applyBorder="1" applyAlignment="1">
      <alignment vertical="center" wrapText="1"/>
    </xf>
    <xf numFmtId="0" fontId="0" fillId="3" borderId="19" xfId="0" applyFill="1" applyBorder="1" applyAlignment="1" applyProtection="1">
      <alignment horizontal="center" vertical="center"/>
    </xf>
    <xf numFmtId="0" fontId="0" fillId="3" borderId="29" xfId="0" applyFill="1" applyBorder="1" applyAlignment="1" applyProtection="1">
      <alignment horizontal="center" vertical="center"/>
    </xf>
    <xf numFmtId="0" fontId="0" fillId="3" borderId="30" xfId="0" applyFill="1" applyBorder="1" applyAlignment="1" applyProtection="1">
      <alignment horizontal="center" vertical="center"/>
    </xf>
    <xf numFmtId="0" fontId="0" fillId="11" borderId="16" xfId="0" applyFill="1" applyBorder="1" applyAlignment="1" applyProtection="1"/>
    <xf numFmtId="0" fontId="0" fillId="11" borderId="37" xfId="0" applyFill="1" applyBorder="1" applyAlignment="1" applyProtection="1"/>
    <xf numFmtId="0" fontId="0" fillId="11" borderId="40" xfId="0" applyFill="1" applyBorder="1" applyAlignment="1" applyProtection="1"/>
    <xf numFmtId="0" fontId="5" fillId="0" borderId="19" xfId="0" applyFont="1" applyFill="1" applyBorder="1" applyAlignment="1" applyProtection="1">
      <alignment horizontal="center" vertical="center" wrapText="1"/>
    </xf>
    <xf numFmtId="0" fontId="0" fillId="0" borderId="29" xfId="0" applyBorder="1" applyAlignment="1" applyProtection="1">
      <alignment horizontal="center" vertical="center" wrapText="1"/>
    </xf>
    <xf numFmtId="0" fontId="0" fillId="0" borderId="30" xfId="0" applyBorder="1" applyAlignment="1" applyProtection="1">
      <alignment horizontal="center" vertical="center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33" xfId="0" applyBorder="1" applyAlignment="1" applyProtection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</xf>
    <xf numFmtId="0" fontId="8" fillId="0" borderId="17" xfId="0" applyFont="1" applyBorder="1" applyAlignment="1" applyProtection="1">
      <alignment horizontal="center" vertical="center" wrapText="1"/>
    </xf>
    <xf numFmtId="0" fontId="8" fillId="0" borderId="41" xfId="0" applyFont="1" applyBorder="1" applyAlignment="1" applyProtection="1">
      <alignment horizontal="center" vertical="center" wrapText="1"/>
    </xf>
    <xf numFmtId="0" fontId="8" fillId="0" borderId="25" xfId="0" applyFont="1" applyBorder="1" applyAlignment="1" applyProtection="1">
      <alignment horizontal="center" vertical="center" wrapText="1"/>
    </xf>
    <xf numFmtId="0" fontId="12" fillId="20" borderId="16" xfId="0" applyFont="1" applyFill="1" applyBorder="1" applyAlignment="1" applyProtection="1">
      <alignment vertical="center" wrapText="1"/>
    </xf>
    <xf numFmtId="0" fontId="0" fillId="20" borderId="37" xfId="0" applyFill="1" applyBorder="1" applyAlignment="1" applyProtection="1">
      <alignment vertical="center" wrapText="1"/>
    </xf>
    <xf numFmtId="0" fontId="0" fillId="20" borderId="40" xfId="0" applyFill="1" applyBorder="1" applyAlignment="1" applyProtection="1">
      <alignment vertical="center" wrapText="1"/>
    </xf>
    <xf numFmtId="0" fontId="0" fillId="20" borderId="16" xfId="0" applyFill="1" applyBorder="1" applyAlignment="1" applyProtection="1">
      <alignment wrapText="1"/>
    </xf>
    <xf numFmtId="0" fontId="0" fillId="20" borderId="37" xfId="0" applyFill="1" applyBorder="1" applyAlignment="1" applyProtection="1">
      <alignment wrapText="1"/>
    </xf>
    <xf numFmtId="0" fontId="0" fillId="20" borderId="40" xfId="0" applyFill="1" applyBorder="1" applyAlignment="1" applyProtection="1">
      <alignment wrapText="1"/>
    </xf>
    <xf numFmtId="0" fontId="12" fillId="23" borderId="9" xfId="0" applyFont="1" applyFill="1" applyBorder="1" applyAlignment="1" applyProtection="1">
      <alignment horizontal="center" vertical="center"/>
    </xf>
    <xf numFmtId="0" fontId="0" fillId="23" borderId="12" xfId="0" applyFill="1" applyBorder="1" applyAlignment="1" applyProtection="1">
      <alignment horizontal="center" vertical="center"/>
    </xf>
    <xf numFmtId="0" fontId="12" fillId="12" borderId="9" xfId="0" applyFont="1" applyFill="1" applyBorder="1" applyAlignment="1" applyProtection="1">
      <alignment horizontal="center" vertical="center"/>
    </xf>
    <xf numFmtId="0" fontId="0" fillId="12" borderId="12" xfId="0" applyFill="1" applyBorder="1" applyAlignment="1" applyProtection="1">
      <alignment horizontal="center" vertical="center"/>
    </xf>
    <xf numFmtId="2" fontId="2" fillId="26" borderId="40" xfId="0" applyNumberFormat="1" applyFont="1" applyFill="1" applyBorder="1" applyAlignment="1" applyProtection="1">
      <alignment horizontal="center"/>
      <protection locked="0"/>
    </xf>
    <xf numFmtId="0" fontId="0" fillId="26" borderId="10" xfId="0" applyFill="1" applyBorder="1" applyAlignment="1" applyProtection="1">
      <alignment horizontal="center" vertical="center"/>
      <protection locked="0"/>
    </xf>
    <xf numFmtId="0" fontId="2" fillId="26" borderId="10" xfId="0" applyFont="1" applyFill="1" applyBorder="1" applyAlignment="1" applyProtection="1">
      <alignment horizontal="center" vertical="center"/>
      <protection locked="0"/>
    </xf>
    <xf numFmtId="2" fontId="0" fillId="16" borderId="1" xfId="0" applyNumberFormat="1" applyFill="1" applyBorder="1" applyAlignment="1" applyProtection="1">
      <alignment horizontal="center"/>
    </xf>
    <xf numFmtId="2" fontId="28" fillId="0" borderId="0" xfId="0" applyNumberFormat="1" applyFont="1" applyAlignment="1" applyProtection="1">
      <alignment horizontal="center" vertical="center"/>
    </xf>
    <xf numFmtId="0" fontId="29" fillId="0" borderId="0" xfId="0" applyFont="1" applyFill="1" applyBorder="1" applyAlignment="1" applyProtection="1">
      <alignment horizontal="center" vertical="center"/>
    </xf>
  </cellXfs>
  <cellStyles count="4">
    <cellStyle name="Euro" xfId="3"/>
    <cellStyle name="Input" xfId="2" builtinId="20"/>
    <cellStyle name="Normal" xfId="0" builtinId="0"/>
    <cellStyle name="Percent" xfId="1" builtinId="5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FFCC"/>
      <color rgb="FFCCFF99"/>
      <color rgb="FFFFFF66"/>
      <color rgb="FFFFFF99"/>
      <color rgb="FFFF6600"/>
      <color rgb="FFE6A4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417484579133492"/>
          <c:y val="3.780068728522349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26655852415564"/>
          <c:y val="0.16494900715812694"/>
          <c:w val="0.58543577511099076"/>
          <c:h val="0.66666890393076161"/>
        </c:manualLayout>
      </c:layout>
      <c:scatterChart>
        <c:scatterStyle val="lineMarker"/>
        <c:varyColors val="0"/>
        <c:ser>
          <c:idx val="0"/>
          <c:order val="0"/>
          <c:tx>
            <c:v>Vb Vs TWA 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'Sail Force HM''s '!#REF!</c:f>
            </c:numRef>
          </c:xVal>
          <c:yVal>
            <c:numRef>
              <c:f>'Sail Force HM''s '!$H$19:$P$19</c:f>
              <c:numCache>
                <c:formatCode>0.00</c:formatCode>
                <c:ptCount val="9"/>
                <c:pt idx="0">
                  <c:v>7.2492194625824071</c:v>
                </c:pt>
                <c:pt idx="1">
                  <c:v>7.4830652516979699</c:v>
                </c:pt>
                <c:pt idx="2">
                  <c:v>7.9507568299290927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50-4DD0-A381-7DE614F3A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432136"/>
        <c:axId val="264435272"/>
      </c:scatterChart>
      <c:valAx>
        <c:axId val="264432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TWA Degrees</a:t>
                </a:r>
              </a:p>
            </c:rich>
          </c:tx>
          <c:layout>
            <c:manualLayout>
              <c:xMode val="edge"/>
              <c:yMode val="edge"/>
              <c:x val="0.36414654050596618"/>
              <c:y val="0.896910102732003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435272"/>
        <c:crosses val="autoZero"/>
        <c:crossBetween val="midCat"/>
      </c:valAx>
      <c:valAx>
        <c:axId val="264435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Vboat (kts)</a:t>
                </a:r>
              </a:p>
            </c:rich>
          </c:tx>
          <c:layout>
            <c:manualLayout>
              <c:xMode val="edge"/>
              <c:yMode val="edge"/>
              <c:x val="4.4817927170868521E-2"/>
              <c:y val="0.3986268726718454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4321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672504172272586"/>
          <c:y val="0.47422824724229118"/>
          <c:w val="0.17086893550070978"/>
          <c:h val="4.810996563573882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35 Degrees 
Keel SideForce Vs Boat Speed At Various Heel Angles</a:t>
            </a:r>
          </a:p>
        </c:rich>
      </c:tx>
      <c:layout>
        <c:manualLayout>
          <c:xMode val="edge"/>
          <c:yMode val="edge"/>
          <c:x val="0.13750021872265966"/>
          <c:y val="3.29669873060062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25031789208599"/>
          <c:y val="0.2087914888707951"/>
          <c:w val="0.52083439297361855"/>
          <c:h val="0.65659428736999981"/>
        </c:manualLayout>
      </c:layout>
      <c:scatterChart>
        <c:scatterStyle val="smoothMarker"/>
        <c:varyColors val="0"/>
        <c:ser>
          <c:idx val="0"/>
          <c:order val="0"/>
          <c:tx>
            <c:v>SF @ 00 Degs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Predictor'!$B$173:$B$179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Predictor'!$G$173:$G$179</c:f>
              <c:numCache>
                <c:formatCode>0.00</c:formatCode>
                <c:ptCount val="7"/>
                <c:pt idx="0">
                  <c:v>4208.1994490789257</c:v>
                </c:pt>
                <c:pt idx="1">
                  <c:v>6575.3116391858221</c:v>
                </c:pt>
                <c:pt idx="2">
                  <c:v>9468.4487604275819</c:v>
                </c:pt>
                <c:pt idx="3">
                  <c:v>12887.610812804209</c:v>
                </c:pt>
                <c:pt idx="4">
                  <c:v>16832.797796315703</c:v>
                </c:pt>
                <c:pt idx="5">
                  <c:v>21304.009710962066</c:v>
                </c:pt>
                <c:pt idx="6">
                  <c:v>26301.246556743288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143-4F3D-B861-5775BFA9786D}"/>
            </c:ext>
          </c:extLst>
        </c:ser>
        <c:ser>
          <c:idx val="1"/>
          <c:order val="1"/>
          <c:tx>
            <c:v>SF @ 10 Degs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Predictor'!$B$188:$B$194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Predictor'!$G$188:$G$194</c:f>
              <c:numCache>
                <c:formatCode>0.00</c:formatCode>
                <c:ptCount val="7"/>
                <c:pt idx="0">
                  <c:v>3820.1295294982019</c:v>
                </c:pt>
                <c:pt idx="1">
                  <c:v>5968.9523898409407</c:v>
                </c:pt>
                <c:pt idx="2">
                  <c:v>8595.291441370955</c:v>
                </c:pt>
                <c:pt idx="3">
                  <c:v>11699.14668408824</c:v>
                </c:pt>
                <c:pt idx="4">
                  <c:v>15280.518117992808</c:v>
                </c:pt>
                <c:pt idx="5">
                  <c:v>19339.405743084651</c:v>
                </c:pt>
                <c:pt idx="6">
                  <c:v>23875.809559363763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143-4F3D-B861-5775BFA9786D}"/>
            </c:ext>
          </c:extLst>
        </c:ser>
        <c:ser>
          <c:idx val="2"/>
          <c:order val="2"/>
          <c:tx>
            <c:v>SF @ 20 Degs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Predictor'!$B$203:$B$209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Predictor'!$G$203:$G$209</c:f>
              <c:numCache>
                <c:formatCode>0.00</c:formatCode>
                <c:ptCount val="7"/>
                <c:pt idx="0">
                  <c:v>3074.3722014542609</c:v>
                </c:pt>
                <c:pt idx="1">
                  <c:v>4803.7065647722829</c:v>
                </c:pt>
                <c:pt idx="2">
                  <c:v>6917.3374532720873</c:v>
                </c:pt>
                <c:pt idx="3">
                  <c:v>9415.2648669536738</c:v>
                </c:pt>
                <c:pt idx="4">
                  <c:v>12297.488805817044</c:v>
                </c:pt>
                <c:pt idx="5">
                  <c:v>15564.009269862197</c:v>
                </c:pt>
                <c:pt idx="6">
                  <c:v>19214.826259089132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143-4F3D-B861-5775BFA9786D}"/>
            </c:ext>
          </c:extLst>
        </c:ser>
        <c:ser>
          <c:idx val="3"/>
          <c:order val="3"/>
          <c:tx>
            <c:v>SF @ 30 Degs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'Speed &amp; Leeway Predictor'!$B$218:$B$224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Predictor'!$G$218:$G$224</c:f>
              <c:numCache>
                <c:formatCode>0.00</c:formatCode>
                <c:ptCount val="7"/>
                <c:pt idx="0">
                  <c:v>2048.7440086971924</c:v>
                </c:pt>
                <c:pt idx="1">
                  <c:v>3201.1625135893628</c:v>
                </c:pt>
                <c:pt idx="2">
                  <c:v>4609.6740195686825</c:v>
                </c:pt>
                <c:pt idx="3">
                  <c:v>6274.2785266351511</c:v>
                </c:pt>
                <c:pt idx="4">
                  <c:v>8194.9760347887695</c:v>
                </c:pt>
                <c:pt idx="5">
                  <c:v>10371.766544029539</c:v>
                </c:pt>
                <c:pt idx="6">
                  <c:v>12804.650054357451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143-4F3D-B861-5775BFA9786D}"/>
            </c:ext>
          </c:extLst>
        </c:ser>
        <c:ser>
          <c:idx val="4"/>
          <c:order val="4"/>
          <c:tx>
            <c:v>Generated Sail Sideforce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'Speed &amp; Leeway Predictor'!$C$241:$D$241</c:f>
            </c:numRef>
          </c:xVal>
          <c:yVal>
            <c:numRef>
              <c:f>'Speed &amp; Leeway Predictor'!$C$242:$D$242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F143-4F3D-B861-5775BFA9786D}"/>
            </c:ext>
          </c:extLst>
        </c:ser>
        <c:ser>
          <c:idx val="5"/>
          <c:order val="5"/>
          <c:tx>
            <c:v>Boat Speed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Predictor'!$C$243:$D$243</c:f>
            </c:numRef>
          </c:xVal>
          <c:yVal>
            <c:numRef>
              <c:f>'Speed &amp; Leeway Predictor'!$C$244:$D$244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F143-4F3D-B861-5775BFA97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432920"/>
        <c:axId val="264432528"/>
      </c:scatterChart>
      <c:valAx>
        <c:axId val="264432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Boat Speed (Knots)</a:t>
                </a:r>
              </a:p>
            </c:rich>
          </c:tx>
          <c:layout>
            <c:manualLayout>
              <c:xMode val="edge"/>
              <c:yMode val="edge"/>
              <c:x val="0.32708398950131296"/>
              <c:y val="0.9175836397758985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432528"/>
        <c:crosses val="autoZero"/>
        <c:crossBetween val="midCat"/>
      </c:valAx>
      <c:valAx>
        <c:axId val="264432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Sail or Keel Sideforce (N)</a:t>
                </a:r>
              </a:p>
            </c:rich>
          </c:tx>
          <c:layout>
            <c:manualLayout>
              <c:xMode val="edge"/>
              <c:yMode val="edge"/>
              <c:x val="3.333333333333334E-2"/>
              <c:y val="0.379121462059987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4329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2500153105861764"/>
          <c:y val="0.42857194301899598"/>
          <c:w val="0.25833377077865288"/>
          <c:h val="0.21703335895677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35 Degrees
Sail Drive Force (= Hull Drag) Vs Boat Speed (KTS) </a:t>
            </a:r>
          </a:p>
        </c:rich>
      </c:tx>
      <c:layout>
        <c:manualLayout>
          <c:xMode val="edge"/>
          <c:yMode val="edge"/>
          <c:x val="0.18846181776685056"/>
          <c:y val="3.32409113754397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192326652950959"/>
          <c:y val="0.19667616629718637"/>
          <c:w val="0.58846209102885505"/>
          <c:h val="0.61218919368560865"/>
        </c:manualLayout>
      </c:layout>
      <c:scatterChart>
        <c:scatterStyle val="smoothMarker"/>
        <c:varyColors val="0"/>
        <c:ser>
          <c:idx val="0"/>
          <c:order val="0"/>
          <c:tx>
            <c:v>Rt @ 10 degs heel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Predictor'!$B$186:$B$196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Predictor'!$F$186:$F$196</c:f>
              <c:numCache>
                <c:formatCode>0.00</c:formatCode>
                <c:ptCount val="11"/>
                <c:pt idx="0">
                  <c:v>218.77713286354566</c:v>
                </c:pt>
                <c:pt idx="1">
                  <c:v>515.35777177598447</c:v>
                </c:pt>
                <c:pt idx="2">
                  <c:v>967.74715260915013</c:v>
                </c:pt>
                <c:pt idx="3">
                  <c:v>1623.3766190537031</c:v>
                </c:pt>
                <c:pt idx="4">
                  <c:v>2447.3571081668752</c:v>
                </c:pt>
                <c:pt idx="5">
                  <c:v>3785.4115079089693</c:v>
                </c:pt>
                <c:pt idx="6">
                  <c:v>6512.9839562621219</c:v>
                </c:pt>
                <c:pt idx="7">
                  <c:v>10509.88066588581</c:v>
                </c:pt>
                <c:pt idx="8">
                  <c:v>15534.990820879253</c:v>
                </c:pt>
                <c:pt idx="9">
                  <c:v>19241.830819547962</c:v>
                </c:pt>
                <c:pt idx="10">
                  <c:v>22391.982456622245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13B-4273-BC1B-7BFE219894CD}"/>
            </c:ext>
          </c:extLst>
        </c:ser>
        <c:ser>
          <c:idx val="1"/>
          <c:order val="1"/>
          <c:tx>
            <c:v>Drive Force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Predictor'!$B$235:$B$236</c:f>
            </c:numRef>
          </c:xVal>
          <c:yVal>
            <c:numRef>
              <c:f>'Speed &amp; Leeway Predictor'!$C$235:$C$236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13B-4273-BC1B-7BFE219894CD}"/>
            </c:ext>
          </c:extLst>
        </c:ser>
        <c:ser>
          <c:idx val="2"/>
          <c:order val="2"/>
          <c:tx>
            <c:v> Boat Speed TWA 35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Predictor'!$D$235:$D$236</c:f>
            </c:numRef>
          </c:xVal>
          <c:yVal>
            <c:numRef>
              <c:f>'Speed &amp; Leeway Predictor'!$E$235:$E$236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13B-4273-BC1B-7BFE219894CD}"/>
            </c:ext>
          </c:extLst>
        </c:ser>
        <c:ser>
          <c:idx val="3"/>
          <c:order val="3"/>
          <c:tx>
            <c:v>Rt @ 20 degs heel</c:v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'Speed &amp; Leeway Predictor'!$B$201:$B$211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Predictor'!$F$201:$F$211</c:f>
              <c:numCache>
                <c:formatCode>0.00</c:formatCode>
                <c:ptCount val="11"/>
                <c:pt idx="0">
                  <c:v>198.51822457444138</c:v>
                </c:pt>
                <c:pt idx="1">
                  <c:v>473.05628502493244</c:v>
                </c:pt>
                <c:pt idx="2">
                  <c:v>900.71069555697875</c:v>
                </c:pt>
                <c:pt idx="3">
                  <c:v>1535.0374394068483</c:v>
                </c:pt>
                <c:pt idx="4">
                  <c:v>2349.0219901904111</c:v>
                </c:pt>
                <c:pt idx="5">
                  <c:v>3698.0116694396393</c:v>
                </c:pt>
                <c:pt idx="6">
                  <c:v>6468.8249457213669</c:v>
                </c:pt>
                <c:pt idx="7">
                  <c:v>10554.392259292807</c:v>
                </c:pt>
                <c:pt idx="8">
                  <c:v>15728.476918863931</c:v>
                </c:pt>
                <c:pt idx="9">
                  <c:v>19661.21934436405</c:v>
                </c:pt>
                <c:pt idx="10">
                  <c:v>23132.575249160291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13B-4273-BC1B-7BFE219894CD}"/>
            </c:ext>
          </c:extLst>
        </c:ser>
        <c:ser>
          <c:idx val="4"/>
          <c:order val="4"/>
          <c:tx>
            <c:v>Rt @ 30 degs heel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'Speed &amp; Leeway Predictor'!$B$216:$B$226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Predictor'!$F$216:$F$226</c:f>
              <c:numCache>
                <c:formatCode>0.00</c:formatCode>
                <c:ptCount val="11"/>
                <c:pt idx="0">
                  <c:v>176.64743727553645</c:v>
                </c:pt>
                <c:pt idx="1">
                  <c:v>427.12807050182892</c:v>
                </c:pt>
                <c:pt idx="2">
                  <c:v>827.22672246560467</c:v>
                </c:pt>
                <c:pt idx="3">
                  <c:v>1436.6240159487395</c:v>
                </c:pt>
                <c:pt idx="4">
                  <c:v>2236.1799611257411</c:v>
                </c:pt>
                <c:pt idx="5">
                  <c:v>3590.8663131002504</c:v>
                </c:pt>
                <c:pt idx="6">
                  <c:v>6398.8758710238035</c:v>
                </c:pt>
                <c:pt idx="7">
                  <c:v>10566.263302751338</c:v>
                </c:pt>
                <c:pt idx="8">
                  <c:v>15881.666041603596</c:v>
                </c:pt>
                <c:pt idx="9">
                  <c:v>20031.848529133669</c:v>
                </c:pt>
                <c:pt idx="10">
                  <c:v>23815.140397345516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513B-4273-BC1B-7BFE219894CD}"/>
            </c:ext>
          </c:extLst>
        </c:ser>
        <c:ser>
          <c:idx val="5"/>
          <c:order val="5"/>
          <c:tx>
            <c:v>No heel Angle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Predictor'!$B$171:$B$181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Predictor'!$F$171:$F$181</c:f>
              <c:numCache>
                <c:formatCode>0.00</c:formatCode>
                <c:ptCount val="11"/>
                <c:pt idx="0">
                  <c:v>199.75731375765659</c:v>
                </c:pt>
                <c:pt idx="1">
                  <c:v>469.2821218883015</c:v>
                </c:pt>
                <c:pt idx="2">
                  <c:v>877.66870008134811</c:v>
                </c:pt>
                <c:pt idx="3">
                  <c:v>1466.2237524818497</c:v>
                </c:pt>
                <c:pt idx="4">
                  <c:v>2192.1836795883992</c:v>
                </c:pt>
                <c:pt idx="5">
                  <c:v>3391.6469357896317</c:v>
                </c:pt>
                <c:pt idx="6">
                  <c:v>5928.6833284829818</c:v>
                </c:pt>
                <c:pt idx="7">
                  <c:v>9669.9748427301984</c:v>
                </c:pt>
                <c:pt idx="8">
                  <c:v>14359.53653801974</c:v>
                </c:pt>
                <c:pt idx="9">
                  <c:v>17634.260791033321</c:v>
                </c:pt>
                <c:pt idx="10">
                  <c:v>20237.355477864436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513B-4273-BC1B-7BFE21989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433704"/>
        <c:axId val="264433312"/>
      </c:scatterChart>
      <c:valAx>
        <c:axId val="264433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Speed (knots)</a:t>
                </a:r>
              </a:p>
            </c:rich>
          </c:tx>
          <c:layout>
            <c:manualLayout>
              <c:xMode val="edge"/>
              <c:yMode val="edge"/>
              <c:x val="0.37378710072308158"/>
              <c:y val="0.9075445356564472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433312"/>
        <c:crosses val="autoZero"/>
        <c:crossBetween val="midCat"/>
      </c:valAx>
      <c:valAx>
        <c:axId val="264433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Drag (N)</a:t>
                </a:r>
              </a:p>
            </c:rich>
          </c:tx>
          <c:layout>
            <c:manualLayout>
              <c:xMode val="edge"/>
              <c:yMode val="edge"/>
              <c:x val="2.5890054257051837E-2"/>
              <c:y val="0.381996146758251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433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0769288226323626"/>
          <c:y val="0.50969592896632598"/>
          <c:w val="0.34038509020364643"/>
          <c:h val="0.265928407885185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40 Degrees
Sail Drive Force (= Hull Drag) Vs Boat Speed (KTS) </a:t>
            </a:r>
          </a:p>
        </c:rich>
      </c:tx>
      <c:layout>
        <c:manualLayout>
          <c:xMode val="edge"/>
          <c:yMode val="edge"/>
          <c:x val="0.19585726925377236"/>
          <c:y val="3.43750908687434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77404766590099"/>
          <c:y val="0.21562500000000001"/>
          <c:w val="0.59510467261187883"/>
          <c:h val="0.56875000000000064"/>
        </c:manualLayout>
      </c:layout>
      <c:scatterChart>
        <c:scatterStyle val="smoothMarker"/>
        <c:varyColors val="0"/>
        <c:ser>
          <c:idx val="0"/>
          <c:order val="0"/>
          <c:tx>
            <c:v>Rt @ 10 degs heel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Predictor'!$B$186:$B$196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Predictor'!$I$186:$I$196</c:f>
              <c:numCache>
                <c:formatCode>0.00</c:formatCode>
                <c:ptCount val="11"/>
                <c:pt idx="0">
                  <c:v>196.5589082574769</c:v>
                </c:pt>
                <c:pt idx="1">
                  <c:v>465.36676641232975</c:v>
                </c:pt>
                <c:pt idx="2">
                  <c:v>878.8742541848751</c:v>
                </c:pt>
                <c:pt idx="3">
                  <c:v>1484.5127152657733</c:v>
                </c:pt>
                <c:pt idx="4">
                  <c:v>2247.3930867122563</c:v>
                </c:pt>
                <c:pt idx="5">
                  <c:v>3513.2382564846271</c:v>
                </c:pt>
                <c:pt idx="6">
                  <c:v>6157.4923625650217</c:v>
                </c:pt>
                <c:pt idx="7">
                  <c:v>10059.961617612918</c:v>
                </c:pt>
                <c:pt idx="8">
                  <c:v>14979.535205727534</c:v>
                </c:pt>
                <c:pt idx="9">
                  <c:v>18569.729525214381</c:v>
                </c:pt>
                <c:pt idx="10">
                  <c:v>21592.12637080377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8D7-49BE-8061-1E55B0FA5025}"/>
            </c:ext>
          </c:extLst>
        </c:ser>
        <c:ser>
          <c:idx val="1"/>
          <c:order val="1"/>
          <c:tx>
            <c:v>Drive Force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Predictor'!$B$252:$B$253</c:f>
            </c:numRef>
          </c:xVal>
          <c:yVal>
            <c:numRef>
              <c:f>'Speed &amp; Leeway Predictor'!$C$252:$C$253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8D7-49BE-8061-1E55B0FA5025}"/>
            </c:ext>
          </c:extLst>
        </c:ser>
        <c:ser>
          <c:idx val="2"/>
          <c:order val="2"/>
          <c:tx>
            <c:v> Boat Speed TWA 40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Predictor'!$D$252:$D$253</c:f>
            </c:numRef>
          </c:xVal>
          <c:yVal>
            <c:numRef>
              <c:f>'Speed &amp; Leeway Predictor'!$E$252:$E$253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8D7-49BE-8061-1E55B0FA5025}"/>
            </c:ext>
          </c:extLst>
        </c:ser>
        <c:ser>
          <c:idx val="3"/>
          <c:order val="3"/>
          <c:tx>
            <c:v>Rt @ 20 degs heel</c:v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'Speed &amp; Leeway Predictor'!$B$201:$B$211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Predictor'!$I$201:$I$211</c:f>
              <c:numCache>
                <c:formatCode>0.00</c:formatCode>
                <c:ptCount val="11"/>
                <c:pt idx="0">
                  <c:v>182.84668244825332</c:v>
                </c:pt>
                <c:pt idx="1">
                  <c:v>437.79531524100929</c:v>
                </c:pt>
                <c:pt idx="2">
                  <c:v>838.02452705222652</c:v>
                </c:pt>
                <c:pt idx="3">
                  <c:v>1437.0903011181731</c:v>
                </c:pt>
                <c:pt idx="4">
                  <c:v>2207.9781110547183</c:v>
                </c:pt>
                <c:pt idx="5">
                  <c:v>3506.0352783938351</c:v>
                </c:pt>
                <c:pt idx="6">
                  <c:v>6218.080271702358</c:v>
                </c:pt>
                <c:pt idx="7">
                  <c:v>10237.043531237498</c:v>
                </c:pt>
                <c:pt idx="8">
                  <c:v>15336.688365709229</c:v>
                </c:pt>
                <c:pt idx="9">
                  <c:v>19187.15519504686</c:v>
                </c:pt>
                <c:pt idx="10">
                  <c:v>22568.399732617519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8D7-49BE-8061-1E55B0FA5025}"/>
            </c:ext>
          </c:extLst>
        </c:ser>
        <c:ser>
          <c:idx val="4"/>
          <c:order val="4"/>
          <c:tx>
            <c:v>Rt @ 30 degs heel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'Speed &amp; Leeway Predictor'!$B$216:$B$226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Predictor'!$I$216:$I$226</c:f>
              <c:numCache>
                <c:formatCode>0.00</c:formatCode>
                <c:ptCount val="11"/>
                <c:pt idx="0">
                  <c:v>168.01509621555709</c:v>
                </c:pt>
                <c:pt idx="1">
                  <c:v>407.70530311687537</c:v>
                </c:pt>
                <c:pt idx="2">
                  <c:v>792.69735822568725</c:v>
                </c:pt>
                <c:pt idx="3">
                  <c:v>1382.6718843238684</c:v>
                </c:pt>
                <c:pt idx="4">
                  <c:v>2158.4888915859265</c:v>
                </c:pt>
                <c:pt idx="5">
                  <c:v>3485.1201351155032</c:v>
                </c:pt>
                <c:pt idx="6">
                  <c:v>6260.7584140641338</c:v>
                </c:pt>
                <c:pt idx="7">
                  <c:v>10391.458396286755</c:v>
                </c:pt>
                <c:pt idx="8">
                  <c:v>15665.857515104111</c:v>
                </c:pt>
                <c:pt idx="9">
                  <c:v>19770.720212069293</c:v>
                </c:pt>
                <c:pt idx="10">
                  <c:v>23504.376119186258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8D7-49BE-8061-1E55B0FA5025}"/>
            </c:ext>
          </c:extLst>
        </c:ser>
        <c:ser>
          <c:idx val="5"/>
          <c:order val="5"/>
          <c:tx>
            <c:v>No heel Angle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Predictor'!$B$171:$B$181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Predictor'!$I$171:$I$181</c:f>
              <c:numCache>
                <c:formatCode>0.00</c:formatCode>
                <c:ptCount val="11"/>
                <c:pt idx="0">
                  <c:v>182.9942400423995</c:v>
                </c:pt>
                <c:pt idx="1">
                  <c:v>431.56520602897308</c:v>
                </c:pt>
                <c:pt idx="2">
                  <c:v>810.61640522031985</c:v>
                </c:pt>
                <c:pt idx="3">
                  <c:v>1361.4545417614929</c:v>
                </c:pt>
                <c:pt idx="4">
                  <c:v>2041.3160161510855</c:v>
                </c:pt>
                <c:pt idx="5">
                  <c:v>3186.2992827777325</c:v>
                </c:pt>
                <c:pt idx="6">
                  <c:v>5660.4741490388687</c:v>
                </c:pt>
                <c:pt idx="7">
                  <c:v>9330.5225999962422</c:v>
                </c:pt>
                <c:pt idx="8">
                  <c:v>13940.459695138314</c:v>
                </c:pt>
                <c:pt idx="9">
                  <c:v>17127.177811146794</c:v>
                </c:pt>
                <c:pt idx="10">
                  <c:v>19633.884824115183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8D7-49BE-8061-1E55B0FA5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808328"/>
        <c:axId val="263809504"/>
      </c:scatterChart>
      <c:valAx>
        <c:axId val="263808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Speed (knots)</a:t>
                </a:r>
              </a:p>
            </c:rich>
          </c:tx>
          <c:layout>
            <c:manualLayout>
              <c:xMode val="edge"/>
              <c:yMode val="edge"/>
              <c:x val="0.37378689245765306"/>
              <c:y val="0.9075445161191586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3809504"/>
        <c:crosses val="autoZero"/>
        <c:crossBetween val="midCat"/>
      </c:valAx>
      <c:valAx>
        <c:axId val="2638095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Drag (N)</a:t>
                </a:r>
              </a:p>
            </c:rich>
          </c:tx>
          <c:layout>
            <c:manualLayout>
              <c:xMode val="edge"/>
              <c:yMode val="edge"/>
              <c:x val="2.5890040581085627E-2"/>
              <c:y val="0.381996128035016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3808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1393715616056577"/>
          <c:y val="0.47812492826151837"/>
          <c:w val="0.33333392647952897"/>
          <c:h val="0.300000153042094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40 Degrees 
Keel SideForce Vs Boat Speed At Various Heel Angles</a:t>
            </a:r>
          </a:p>
        </c:rich>
      </c:tx>
      <c:layout>
        <c:manualLayout>
          <c:xMode val="edge"/>
          <c:yMode val="edge"/>
          <c:x val="0.18388451443569553"/>
          <c:y val="3.36389951256093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909106958922853"/>
          <c:y val="0.22935848312811524"/>
          <c:w val="0.51859556450514566"/>
          <c:h val="0.61773884789172373"/>
        </c:manualLayout>
      </c:layout>
      <c:scatterChart>
        <c:scatterStyle val="smoothMarker"/>
        <c:varyColors val="0"/>
        <c:ser>
          <c:idx val="0"/>
          <c:order val="0"/>
          <c:tx>
            <c:v>SF @ 00 Degs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Predictor'!$B$173:$B$179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Predictor'!$J$173:$J$179</c:f>
              <c:numCache>
                <c:formatCode>0.00</c:formatCode>
                <c:ptCount val="7"/>
                <c:pt idx="0">
                  <c:v>3506.8328742324379</c:v>
                </c:pt>
                <c:pt idx="1">
                  <c:v>5479.4263659881854</c:v>
                </c:pt>
                <c:pt idx="2">
                  <c:v>7890.3739670229843</c:v>
                </c:pt>
                <c:pt idx="3">
                  <c:v>10739.67567733684</c:v>
                </c:pt>
                <c:pt idx="4">
                  <c:v>14027.331496929752</c:v>
                </c:pt>
                <c:pt idx="5">
                  <c:v>17753.341425801718</c:v>
                </c:pt>
                <c:pt idx="6">
                  <c:v>21917.705463952741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A12-4880-99C4-156A0E0C20B2}"/>
            </c:ext>
          </c:extLst>
        </c:ser>
        <c:ser>
          <c:idx val="1"/>
          <c:order val="1"/>
          <c:tx>
            <c:v>SF @ 10 Degs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Predictor'!$B$188:$B$194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Predictor'!$J$188:$J$194</c:f>
              <c:numCache>
                <c:formatCode>0.00</c:formatCode>
                <c:ptCount val="7"/>
                <c:pt idx="0">
                  <c:v>3183.4412745818349</c:v>
                </c:pt>
                <c:pt idx="1">
                  <c:v>4974.1269915341172</c:v>
                </c:pt>
                <c:pt idx="2">
                  <c:v>7162.7428678091283</c:v>
                </c:pt>
                <c:pt idx="3">
                  <c:v>9749.2889034068685</c:v>
                </c:pt>
                <c:pt idx="4">
                  <c:v>12733.76509832734</c:v>
                </c:pt>
                <c:pt idx="5">
                  <c:v>16116.171452570541</c:v>
                </c:pt>
                <c:pt idx="6">
                  <c:v>19896.507966136469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A12-4880-99C4-156A0E0C20B2}"/>
            </c:ext>
          </c:extLst>
        </c:ser>
        <c:ser>
          <c:idx val="2"/>
          <c:order val="2"/>
          <c:tx>
            <c:v>SF @ 20 Degs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Predictor'!$B$203:$B$209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Predictor'!$J$203:$J$209</c:f>
              <c:numCache>
                <c:formatCode>0.00</c:formatCode>
                <c:ptCount val="7"/>
                <c:pt idx="0">
                  <c:v>2561.9768345452176</c:v>
                </c:pt>
                <c:pt idx="1">
                  <c:v>4003.088803976902</c:v>
                </c:pt>
                <c:pt idx="2">
                  <c:v>5764.4478777267386</c:v>
                </c:pt>
                <c:pt idx="3">
                  <c:v>7846.0540557947261</c:v>
                </c:pt>
                <c:pt idx="4">
                  <c:v>10247.90733818087</c:v>
                </c:pt>
                <c:pt idx="5">
                  <c:v>12970.007724885165</c:v>
                </c:pt>
                <c:pt idx="6">
                  <c:v>16012.355215907608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A12-4880-99C4-156A0E0C20B2}"/>
            </c:ext>
          </c:extLst>
        </c:ser>
        <c:ser>
          <c:idx val="3"/>
          <c:order val="3"/>
          <c:tx>
            <c:v>SF @ 30 Degs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'Speed &amp; Leeway Predictor'!$B$218:$B$224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Predictor'!$J$218:$J$224</c:f>
              <c:numCache>
                <c:formatCode>0.00</c:formatCode>
                <c:ptCount val="7"/>
                <c:pt idx="0">
                  <c:v>1707.2866739143271</c:v>
                </c:pt>
                <c:pt idx="1">
                  <c:v>2667.6354279911357</c:v>
                </c:pt>
                <c:pt idx="2">
                  <c:v>3841.3950163072354</c:v>
                </c:pt>
                <c:pt idx="3">
                  <c:v>5228.5654388626253</c:v>
                </c:pt>
                <c:pt idx="4">
                  <c:v>6829.1466956573086</c:v>
                </c:pt>
                <c:pt idx="5">
                  <c:v>8643.1387866912828</c:v>
                </c:pt>
                <c:pt idx="6">
                  <c:v>10670.541711964543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A12-4880-99C4-156A0E0C20B2}"/>
            </c:ext>
          </c:extLst>
        </c:ser>
        <c:ser>
          <c:idx val="4"/>
          <c:order val="4"/>
          <c:tx>
            <c:v>Generated Sail Sideforce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'Speed &amp; Leeway Predictor'!$C$258:$D$258</c:f>
            </c:numRef>
          </c:xVal>
          <c:yVal>
            <c:numRef>
              <c:f>'Speed &amp; Leeway Predictor'!$C$259:$D$259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9A12-4880-99C4-156A0E0C20B2}"/>
            </c:ext>
          </c:extLst>
        </c:ser>
        <c:ser>
          <c:idx val="5"/>
          <c:order val="5"/>
          <c:tx>
            <c:v>Boat Speed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Predictor'!$C$260:$D$260</c:f>
            </c:numRef>
          </c:xVal>
          <c:yVal>
            <c:numRef>
              <c:f>'Speed &amp; Leeway Predictor'!$C$261:$D$261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9A12-4880-99C4-156A0E0C2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59856"/>
        <c:axId val="264359464"/>
      </c:scatterChart>
      <c:valAx>
        <c:axId val="264359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Boat Speed (Knots)</a:t>
                </a:r>
              </a:p>
            </c:rich>
          </c:tx>
          <c:layout>
            <c:manualLayout>
              <c:xMode val="edge"/>
              <c:yMode val="edge"/>
              <c:x val="0.32851283052428454"/>
              <c:y val="0.9052013498312697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359464"/>
        <c:crosses val="autoZero"/>
        <c:crossBetween val="midCat"/>
      </c:valAx>
      <c:valAx>
        <c:axId val="264359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Sail or Keel Sideforce (N)</a:t>
                </a:r>
              </a:p>
            </c:rich>
          </c:tx>
          <c:layout>
            <c:manualLayout>
              <c:xMode val="edge"/>
              <c:yMode val="edge"/>
              <c:x val="3.5123966942148761E-2"/>
              <c:y val="0.3639154105736783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3598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2520726231535115"/>
          <c:y val="0.28440464941882282"/>
          <c:w val="0.25619856402247282"/>
          <c:h val="0.3914384701912268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45 Degrees
Sail Drive Force (= Hull Drag) Vs Boat Speed (KTS) </a:t>
            </a:r>
          </a:p>
        </c:rich>
      </c:tx>
      <c:layout>
        <c:manualLayout>
          <c:xMode val="edge"/>
          <c:yMode val="edge"/>
          <c:x val="0.19201540872029818"/>
          <c:y val="3.40557573569779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152109961782239"/>
          <c:y val="0.21362229102167191"/>
          <c:w val="0.59125530170889318"/>
          <c:h val="0.56965944272445945"/>
        </c:manualLayout>
      </c:layout>
      <c:scatterChart>
        <c:scatterStyle val="smoothMarker"/>
        <c:varyColors val="0"/>
        <c:ser>
          <c:idx val="0"/>
          <c:order val="0"/>
          <c:tx>
            <c:v>Rt @ 10 degs heel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Predictor'!$B$186:$B$196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Predictor'!$L$186:$L$196</c:f>
              <c:numCache>
                <c:formatCode>0.00</c:formatCode>
                <c:ptCount val="11"/>
                <c:pt idx="0">
                  <c:v>275.33261367899343</c:v>
                </c:pt>
                <c:pt idx="1">
                  <c:v>642.60760361074199</c:v>
                </c:pt>
                <c:pt idx="2">
                  <c:v>1193.9690758709412</c:v>
                </c:pt>
                <c:pt idx="3">
                  <c:v>1976.8483741502519</c:v>
                </c:pt>
                <c:pt idx="4">
                  <c:v>2956.3564355059052</c:v>
                </c:pt>
                <c:pt idx="5">
                  <c:v>4478.2161478982043</c:v>
                </c:pt>
                <c:pt idx="6">
                  <c:v>7417.8716493092861</c:v>
                </c:pt>
                <c:pt idx="7">
                  <c:v>11655.129152398627</c:v>
                </c:pt>
                <c:pt idx="8">
                  <c:v>16948.877841265446</c:v>
                </c:pt>
                <c:pt idx="9">
                  <c:v>20952.634114215256</c:v>
                </c:pt>
                <c:pt idx="10">
                  <c:v>24427.979765978365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422-4877-B483-E06F5CF7A50E}"/>
            </c:ext>
          </c:extLst>
        </c:ser>
        <c:ser>
          <c:idx val="1"/>
          <c:order val="1"/>
          <c:tx>
            <c:v>Drive Force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Predictor'!$B$269:$B$270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14.030747346933692</c:v>
                </c:pt>
              </c:numCache>
            </c:numRef>
          </c:xVal>
          <c:yVal>
            <c:numRef>
              <c:f>'Speed &amp; Leeway Predictor'!$C$269:$C$270</c:f>
              <c:numCache>
                <c:formatCode>0.00</c:formatCode>
                <c:ptCount val="2"/>
                <c:pt idx="0">
                  <c:v>3914.8296350676733</c:v>
                </c:pt>
                <c:pt idx="1">
                  <c:v>3914.8296350676733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422-4877-B483-E06F5CF7A50E}"/>
            </c:ext>
          </c:extLst>
        </c:ser>
        <c:ser>
          <c:idx val="2"/>
          <c:order val="2"/>
          <c:tx>
            <c:v> Boat Speed TWA 45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Predictor'!$D$269:$D$270</c:f>
              <c:numCache>
                <c:formatCode>0.00</c:formatCode>
                <c:ptCount val="2"/>
                <c:pt idx="0">
                  <c:v>7.9507568299290927</c:v>
                </c:pt>
                <c:pt idx="1">
                  <c:v>7.9507568299290927</c:v>
                </c:pt>
              </c:numCache>
            </c:numRef>
          </c:xVal>
          <c:yVal>
            <c:numRef>
              <c:f>'Speed &amp; Leeway Predictor'!$E$269:$E$270</c:f>
              <c:numCache>
                <c:formatCode>General</c:formatCode>
                <c:ptCount val="2"/>
                <c:pt idx="0" formatCode="0">
                  <c:v>7829.6592701353466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422-4877-B483-E06F5CF7A50E}"/>
            </c:ext>
          </c:extLst>
        </c:ser>
        <c:ser>
          <c:idx val="3"/>
          <c:order val="3"/>
          <c:tx>
            <c:v>Rt @ 20 degs heel</c:v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'Speed &amp; Leeway Predictor'!$B$201:$B$211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Predictor'!$L$201:$L$211</c:f>
              <c:numCache>
                <c:formatCode>0.00</c:formatCode>
                <c:ptCount val="11"/>
                <c:pt idx="0">
                  <c:v>238.40942271382917</c:v>
                </c:pt>
                <c:pt idx="1">
                  <c:v>562.81148083855498</c:v>
                </c:pt>
                <c:pt idx="2">
                  <c:v>1060.2754881145299</c:v>
                </c:pt>
                <c:pt idx="3">
                  <c:v>1784.3574277780222</c:v>
                </c:pt>
                <c:pt idx="4">
                  <c:v>2708.0427734449013</c:v>
                </c:pt>
                <c:pt idx="5">
                  <c:v>4186.6788466471389</c:v>
                </c:pt>
                <c:pt idx="6">
                  <c:v>7107.0841159515721</c:v>
                </c:pt>
                <c:pt idx="7">
                  <c:v>11362.18902161541</c:v>
                </c:pt>
                <c:pt idx="8">
                  <c:v>16725.756872348626</c:v>
                </c:pt>
                <c:pt idx="9">
                  <c:v>20867.928088080531</c:v>
                </c:pt>
                <c:pt idx="10">
                  <c:v>24568.658382178251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422-4877-B483-E06F5CF7A50E}"/>
            </c:ext>
          </c:extLst>
        </c:ser>
        <c:ser>
          <c:idx val="4"/>
          <c:order val="4"/>
          <c:tx>
            <c:v>Rt @ 30 degs heel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'Speed &amp; Leeway Predictor'!$B$216:$B$226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Predictor'!$L$216:$L$226</c:f>
              <c:numCache>
                <c:formatCode>0.00</c:formatCode>
                <c:ptCount val="11"/>
                <c:pt idx="0">
                  <c:v>198.62066906457483</c:v>
                </c:pt>
                <c:pt idx="1">
                  <c:v>476.56784202716528</c:v>
                </c:pt>
                <c:pt idx="2">
                  <c:v>915.1196496217583</c:v>
                </c:pt>
                <c:pt idx="3">
                  <c:v>1573.9567146302293</c:v>
                </c:pt>
                <c:pt idx="4">
                  <c:v>2433.9390472270866</c:v>
                </c:pt>
                <c:pt idx="5">
                  <c:v>3860.0384025159706</c:v>
                </c:pt>
                <c:pt idx="6">
                  <c:v>6750.4475796484176</c:v>
                </c:pt>
                <c:pt idx="7">
                  <c:v>11011.221246479365</c:v>
                </c:pt>
                <c:pt idx="8">
                  <c:v>16430.996836329556</c:v>
                </c:pt>
                <c:pt idx="9">
                  <c:v>20696.538790752082</c:v>
                </c:pt>
                <c:pt idx="10">
                  <c:v>24606.176741750896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422-4877-B483-E06F5CF7A50E}"/>
            </c:ext>
          </c:extLst>
        </c:ser>
        <c:ser>
          <c:idx val="5"/>
          <c:order val="5"/>
          <c:tx>
            <c:v>No heel Angle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Predictor'!$B$171:$B$181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Predictor'!$L$171:$L$181</c:f>
              <c:numCache>
                <c:formatCode>0.00</c:formatCode>
                <c:ptCount val="11"/>
                <c:pt idx="0">
                  <c:v>242.42695594194731</c:v>
                </c:pt>
                <c:pt idx="1">
                  <c:v>565.28881680295558</c:v>
                </c:pt>
                <c:pt idx="2">
                  <c:v>1048.3472688185111</c:v>
                </c:pt>
                <c:pt idx="3">
                  <c:v>1732.9090161336667</c:v>
                </c:pt>
                <c:pt idx="4">
                  <c:v>2576.2104592470155</c:v>
                </c:pt>
                <c:pt idx="5">
                  <c:v>3914.3500525471927</c:v>
                </c:pt>
                <c:pt idx="6">
                  <c:v>6611.3976034316329</c:v>
                </c:pt>
                <c:pt idx="7">
                  <c:v>10534.035096962087</c:v>
                </c:pt>
                <c:pt idx="8">
                  <c:v>15426.277592627008</c:v>
                </c:pt>
                <c:pt idx="9">
                  <c:v>18925.017467108115</c:v>
                </c:pt>
                <c:pt idx="10">
                  <c:v>21773.462596498903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422-4877-B483-E06F5CF7A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61424"/>
        <c:axId val="264362600"/>
      </c:scatterChart>
      <c:valAx>
        <c:axId val="264361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Speed (knots)</a:t>
                </a:r>
              </a:p>
            </c:rich>
          </c:tx>
          <c:layout>
            <c:manualLayout>
              <c:xMode val="edge"/>
              <c:yMode val="edge"/>
              <c:x val="0.37378701236490003"/>
              <c:y val="0.907544465251299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362600"/>
        <c:crosses val="autoZero"/>
        <c:crossBetween val="midCat"/>
      </c:valAx>
      <c:valAx>
        <c:axId val="264362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Drag (N)</a:t>
                </a:r>
              </a:p>
            </c:rich>
          </c:tx>
          <c:layout>
            <c:manualLayout>
              <c:xMode val="edge"/>
              <c:yMode val="edge"/>
              <c:x val="2.5890043212279147E-2"/>
              <c:y val="0.3819961043551511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3614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1406903984910743"/>
          <c:y val="0.47987606133760691"/>
          <c:w val="0.33650230033033013"/>
          <c:h val="0.2972136362610832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45 Degrees 
Keel SideForce Vs Boat Speed At Various Heel Angles</a:t>
            </a:r>
          </a:p>
        </c:rich>
      </c:tx>
      <c:layout>
        <c:manualLayout>
          <c:xMode val="edge"/>
          <c:yMode val="edge"/>
          <c:x val="0.19467213114754098"/>
          <c:y val="3.43750094821963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68852459016394"/>
          <c:y val="0.21875000000000031"/>
          <c:w val="0.52663934426229508"/>
          <c:h val="0.62500000000000122"/>
        </c:manualLayout>
      </c:layout>
      <c:scatterChart>
        <c:scatterStyle val="smoothMarker"/>
        <c:varyColors val="0"/>
        <c:ser>
          <c:idx val="0"/>
          <c:order val="0"/>
          <c:tx>
            <c:v>SF @ 00 Degs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Predictor'!$B$173:$B$179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Predictor'!$M$173:$M$179</c:f>
              <c:numCache>
                <c:formatCode>0.00</c:formatCode>
                <c:ptCount val="7"/>
                <c:pt idx="0">
                  <c:v>5610.9325987719012</c:v>
                </c:pt>
                <c:pt idx="1">
                  <c:v>8767.0821855810955</c:v>
                </c:pt>
                <c:pt idx="2">
                  <c:v>12624.598347236773</c:v>
                </c:pt>
                <c:pt idx="3">
                  <c:v>17183.481083738945</c:v>
                </c:pt>
                <c:pt idx="4">
                  <c:v>22443.730395087605</c:v>
                </c:pt>
                <c:pt idx="5">
                  <c:v>28405.346281282757</c:v>
                </c:pt>
                <c:pt idx="6">
                  <c:v>35068.328742324382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814-463E-B343-E6BD043124A8}"/>
            </c:ext>
          </c:extLst>
        </c:ser>
        <c:ser>
          <c:idx val="1"/>
          <c:order val="1"/>
          <c:tx>
            <c:v>SF @ 10 Degs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Predictor'!$B$188:$B$194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Predictor'!$M$188:$M$194</c:f>
              <c:numCache>
                <c:formatCode>0.00</c:formatCode>
                <c:ptCount val="7"/>
                <c:pt idx="0">
                  <c:v>5093.5060393309359</c:v>
                </c:pt>
                <c:pt idx="1">
                  <c:v>7958.6031864545876</c:v>
                </c:pt>
                <c:pt idx="2">
                  <c:v>11460.388588494605</c:v>
                </c:pt>
                <c:pt idx="3">
                  <c:v>15598.862245450988</c:v>
                </c:pt>
                <c:pt idx="4">
                  <c:v>20374.024157323744</c:v>
                </c:pt>
                <c:pt idx="5">
                  <c:v>25785.874324112865</c:v>
                </c:pt>
                <c:pt idx="6">
                  <c:v>31834.41274581835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814-463E-B343-E6BD043124A8}"/>
            </c:ext>
          </c:extLst>
        </c:ser>
        <c:ser>
          <c:idx val="2"/>
          <c:order val="2"/>
          <c:tx>
            <c:v>SF @ 20 Degs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Predictor'!$B$203:$B$209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Predictor'!$M$203:$M$209</c:f>
              <c:numCache>
                <c:formatCode>0.00</c:formatCode>
                <c:ptCount val="7"/>
                <c:pt idx="0">
                  <c:v>4099.1629352723485</c:v>
                </c:pt>
                <c:pt idx="1">
                  <c:v>6404.9420863630439</c:v>
                </c:pt>
                <c:pt idx="2">
                  <c:v>9223.1166043627836</c:v>
                </c:pt>
                <c:pt idx="3">
                  <c:v>12553.686489271564</c:v>
                </c:pt>
                <c:pt idx="4">
                  <c:v>16396.651741089394</c:v>
                </c:pt>
                <c:pt idx="5">
                  <c:v>20752.012359816265</c:v>
                </c:pt>
                <c:pt idx="6">
                  <c:v>25619.768345452176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814-463E-B343-E6BD043124A8}"/>
            </c:ext>
          </c:extLst>
        </c:ser>
        <c:ser>
          <c:idx val="3"/>
          <c:order val="3"/>
          <c:tx>
            <c:v>SF @ 30 Degs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'Speed &amp; Leeway Predictor'!$B$218:$B$224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Predictor'!$M$218:$M$224</c:f>
              <c:numCache>
                <c:formatCode>0.00</c:formatCode>
                <c:ptCount val="7"/>
                <c:pt idx="0">
                  <c:v>2731.6586782629233</c:v>
                </c:pt>
                <c:pt idx="1">
                  <c:v>4268.2166847858171</c:v>
                </c:pt>
                <c:pt idx="2">
                  <c:v>6146.2320260915767</c:v>
                </c:pt>
                <c:pt idx="3">
                  <c:v>8365.7047021802009</c:v>
                </c:pt>
                <c:pt idx="4">
                  <c:v>10926.634713051693</c:v>
                </c:pt>
                <c:pt idx="5">
                  <c:v>13829.022058706054</c:v>
                </c:pt>
                <c:pt idx="6">
                  <c:v>17072.866739143268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814-463E-B343-E6BD043124A8}"/>
            </c:ext>
          </c:extLst>
        </c:ser>
        <c:ser>
          <c:idx val="4"/>
          <c:order val="4"/>
          <c:tx>
            <c:v>Generated Sail Sideforce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'Speed &amp; Leeway Predictor'!$C$275:$D$275</c:f>
              <c:numCache>
                <c:formatCode>0.00</c:formatCode>
                <c:ptCount val="2"/>
                <c:pt idx="0">
                  <c:v>3.6769157823112311</c:v>
                </c:pt>
                <c:pt idx="1">
                  <c:v>12.692289455778077</c:v>
                </c:pt>
              </c:numCache>
            </c:numRef>
          </c:xVal>
          <c:yVal>
            <c:numRef>
              <c:f>'Speed &amp; Leeway Predictor'!$C$276:$D$276</c:f>
              <c:numCache>
                <c:formatCode>0.00</c:formatCode>
                <c:ptCount val="2"/>
                <c:pt idx="0">
                  <c:v>11093.070155121432</c:v>
                </c:pt>
                <c:pt idx="1">
                  <c:v>11093.070155121432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1814-463E-B343-E6BD043124A8}"/>
            </c:ext>
          </c:extLst>
        </c:ser>
        <c:ser>
          <c:idx val="5"/>
          <c:order val="5"/>
          <c:tx>
            <c:v>Boat Speed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Predictor'!$C$277:$D$277</c:f>
              <c:numCache>
                <c:formatCode>0.00</c:formatCode>
                <c:ptCount val="2"/>
                <c:pt idx="0">
                  <c:v>7.9507568299290927</c:v>
                </c:pt>
                <c:pt idx="1">
                  <c:v>7.9507568299290927</c:v>
                </c:pt>
              </c:numCache>
            </c:numRef>
          </c:xVal>
          <c:yVal>
            <c:numRef>
              <c:f>'Speed &amp; Leeway Predictor'!$C$278:$D$278</c:f>
              <c:numCache>
                <c:formatCode>0.00</c:formatCode>
                <c:ptCount val="2"/>
                <c:pt idx="0">
                  <c:v>0</c:v>
                </c:pt>
                <c:pt idx="1">
                  <c:v>35068.328742324382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1814-463E-B343-E6BD04312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60640"/>
        <c:axId val="264360248"/>
      </c:scatterChart>
      <c:valAx>
        <c:axId val="264360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Boat Speed (Knots)</a:t>
                </a:r>
              </a:p>
            </c:rich>
          </c:tx>
          <c:layout>
            <c:manualLayout>
              <c:xMode val="edge"/>
              <c:yMode val="edge"/>
              <c:x val="0.32786885245901715"/>
              <c:y val="0.90312502844659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360248"/>
        <c:crosses val="autoZero"/>
        <c:crossBetween val="midCat"/>
      </c:valAx>
      <c:valAx>
        <c:axId val="264360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Sail or Keel Sideforce (N)</a:t>
                </a:r>
              </a:p>
            </c:rich>
          </c:tx>
          <c:layout>
            <c:manualLayout>
              <c:xMode val="edge"/>
              <c:yMode val="edge"/>
              <c:x val="3.4836065573770607E-2"/>
              <c:y val="0.3531248767314499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360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2950819672131151"/>
          <c:y val="0.27187504741098112"/>
          <c:w val="0.25409836065573765"/>
          <c:h val="0.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45 Degrees
Sail Drive Force (= Hull Drag) Vs Boat Speed (KTS) </a:t>
            </a:r>
          </a:p>
        </c:rich>
      </c:tx>
      <c:layout>
        <c:manualLayout>
          <c:xMode val="edge"/>
          <c:yMode val="edge"/>
          <c:x val="0.19201540872029818"/>
          <c:y val="3.42678368642315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152109961782239"/>
          <c:y val="0.21806919924673679"/>
          <c:w val="0.59125530170889318"/>
          <c:h val="0.56386464376656131"/>
        </c:manualLayout>
      </c:layout>
      <c:scatterChart>
        <c:scatterStyle val="smoothMarker"/>
        <c:varyColors val="0"/>
        <c:ser>
          <c:idx val="0"/>
          <c:order val="0"/>
          <c:tx>
            <c:v>Rt @ 10 degs heel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Predictor'!$B$186:$B$196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Predictor'!$L$186:$L$196</c:f>
              <c:numCache>
                <c:formatCode>0.00</c:formatCode>
                <c:ptCount val="11"/>
                <c:pt idx="0">
                  <c:v>275.33261367899343</c:v>
                </c:pt>
                <c:pt idx="1">
                  <c:v>642.60760361074199</c:v>
                </c:pt>
                <c:pt idx="2">
                  <c:v>1193.9690758709412</c:v>
                </c:pt>
                <c:pt idx="3">
                  <c:v>1976.8483741502519</c:v>
                </c:pt>
                <c:pt idx="4">
                  <c:v>2956.3564355059052</c:v>
                </c:pt>
                <c:pt idx="5">
                  <c:v>4478.2161478982043</c:v>
                </c:pt>
                <c:pt idx="6">
                  <c:v>7417.8716493092861</c:v>
                </c:pt>
                <c:pt idx="7">
                  <c:v>11655.129152398627</c:v>
                </c:pt>
                <c:pt idx="8">
                  <c:v>16948.877841265446</c:v>
                </c:pt>
                <c:pt idx="9">
                  <c:v>20952.634114215256</c:v>
                </c:pt>
                <c:pt idx="10">
                  <c:v>24427.979765978365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82A-4762-949E-5CA83D48AFE0}"/>
            </c:ext>
          </c:extLst>
        </c:ser>
        <c:ser>
          <c:idx val="1"/>
          <c:order val="1"/>
          <c:tx>
            <c:v>Drive Force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Predictor'!$B$269:$B$270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14.030747346933692</c:v>
                </c:pt>
              </c:numCache>
            </c:numRef>
          </c:xVal>
          <c:yVal>
            <c:numRef>
              <c:f>'Speed &amp; Leeway Predictor'!$C$269:$C$270</c:f>
              <c:numCache>
                <c:formatCode>0.00</c:formatCode>
                <c:ptCount val="2"/>
                <c:pt idx="0">
                  <c:v>3914.8296350676733</c:v>
                </c:pt>
                <c:pt idx="1">
                  <c:v>3914.8296350676733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82A-4762-949E-5CA83D48AFE0}"/>
            </c:ext>
          </c:extLst>
        </c:ser>
        <c:ser>
          <c:idx val="2"/>
          <c:order val="2"/>
          <c:tx>
            <c:v> Boat Speed TWA 45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Predictor'!$D$269:$D$270</c:f>
              <c:numCache>
                <c:formatCode>0.00</c:formatCode>
                <c:ptCount val="2"/>
                <c:pt idx="0">
                  <c:v>7.9507568299290927</c:v>
                </c:pt>
                <c:pt idx="1">
                  <c:v>7.9507568299290927</c:v>
                </c:pt>
              </c:numCache>
            </c:numRef>
          </c:xVal>
          <c:yVal>
            <c:numRef>
              <c:f>'Speed &amp; Leeway Predictor'!$E$269:$E$270</c:f>
              <c:numCache>
                <c:formatCode>General</c:formatCode>
                <c:ptCount val="2"/>
                <c:pt idx="0" formatCode="0">
                  <c:v>7829.6592701353466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82A-4762-949E-5CA83D48AFE0}"/>
            </c:ext>
          </c:extLst>
        </c:ser>
        <c:ser>
          <c:idx val="3"/>
          <c:order val="3"/>
          <c:tx>
            <c:v>Rt @ 20 degs heel</c:v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'Speed &amp; Leeway Predictor'!$B$201:$B$211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Predictor'!$L$201:$L$211</c:f>
              <c:numCache>
                <c:formatCode>0.00</c:formatCode>
                <c:ptCount val="11"/>
                <c:pt idx="0">
                  <c:v>238.40942271382917</c:v>
                </c:pt>
                <c:pt idx="1">
                  <c:v>562.81148083855498</c:v>
                </c:pt>
                <c:pt idx="2">
                  <c:v>1060.2754881145299</c:v>
                </c:pt>
                <c:pt idx="3">
                  <c:v>1784.3574277780222</c:v>
                </c:pt>
                <c:pt idx="4">
                  <c:v>2708.0427734449013</c:v>
                </c:pt>
                <c:pt idx="5">
                  <c:v>4186.6788466471389</c:v>
                </c:pt>
                <c:pt idx="6">
                  <c:v>7107.0841159515721</c:v>
                </c:pt>
                <c:pt idx="7">
                  <c:v>11362.18902161541</c:v>
                </c:pt>
                <c:pt idx="8">
                  <c:v>16725.756872348626</c:v>
                </c:pt>
                <c:pt idx="9">
                  <c:v>20867.928088080531</c:v>
                </c:pt>
                <c:pt idx="10">
                  <c:v>24568.658382178251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82A-4762-949E-5CA83D48AFE0}"/>
            </c:ext>
          </c:extLst>
        </c:ser>
        <c:ser>
          <c:idx val="4"/>
          <c:order val="4"/>
          <c:tx>
            <c:v>Rt @ 30 degs heel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'Speed &amp; Leeway Predictor'!$B$216:$B$226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Predictor'!$L$216:$L$226</c:f>
              <c:numCache>
                <c:formatCode>0.00</c:formatCode>
                <c:ptCount val="11"/>
                <c:pt idx="0">
                  <c:v>198.62066906457483</c:v>
                </c:pt>
                <c:pt idx="1">
                  <c:v>476.56784202716528</c:v>
                </c:pt>
                <c:pt idx="2">
                  <c:v>915.1196496217583</c:v>
                </c:pt>
                <c:pt idx="3">
                  <c:v>1573.9567146302293</c:v>
                </c:pt>
                <c:pt idx="4">
                  <c:v>2433.9390472270866</c:v>
                </c:pt>
                <c:pt idx="5">
                  <c:v>3860.0384025159706</c:v>
                </c:pt>
                <c:pt idx="6">
                  <c:v>6750.4475796484176</c:v>
                </c:pt>
                <c:pt idx="7">
                  <c:v>11011.221246479365</c:v>
                </c:pt>
                <c:pt idx="8">
                  <c:v>16430.996836329556</c:v>
                </c:pt>
                <c:pt idx="9">
                  <c:v>20696.538790752082</c:v>
                </c:pt>
                <c:pt idx="10">
                  <c:v>24606.176741750896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982A-4762-949E-5CA83D48AFE0}"/>
            </c:ext>
          </c:extLst>
        </c:ser>
        <c:ser>
          <c:idx val="5"/>
          <c:order val="5"/>
          <c:tx>
            <c:v>No heel Angle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Predictor'!$B$171:$B$181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Predictor'!$L$171:$L$181</c:f>
              <c:numCache>
                <c:formatCode>0.00</c:formatCode>
                <c:ptCount val="11"/>
                <c:pt idx="0">
                  <c:v>242.42695594194731</c:v>
                </c:pt>
                <c:pt idx="1">
                  <c:v>565.28881680295558</c:v>
                </c:pt>
                <c:pt idx="2">
                  <c:v>1048.3472688185111</c:v>
                </c:pt>
                <c:pt idx="3">
                  <c:v>1732.9090161336667</c:v>
                </c:pt>
                <c:pt idx="4">
                  <c:v>2576.2104592470155</c:v>
                </c:pt>
                <c:pt idx="5">
                  <c:v>3914.3500525471927</c:v>
                </c:pt>
                <c:pt idx="6">
                  <c:v>6611.3976034316329</c:v>
                </c:pt>
                <c:pt idx="7">
                  <c:v>10534.035096962087</c:v>
                </c:pt>
                <c:pt idx="8">
                  <c:v>15426.277592627008</c:v>
                </c:pt>
                <c:pt idx="9">
                  <c:v>18925.017467108115</c:v>
                </c:pt>
                <c:pt idx="10">
                  <c:v>21773.462596498903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982A-4762-949E-5CA83D48A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00048"/>
        <c:axId val="264599656"/>
      </c:scatterChart>
      <c:valAx>
        <c:axId val="264600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Speed (knots)</a:t>
                </a:r>
              </a:p>
            </c:rich>
          </c:tx>
          <c:layout>
            <c:manualLayout>
              <c:xMode val="edge"/>
              <c:yMode val="edge"/>
              <c:x val="0.37378701236490003"/>
              <c:y val="0.907544465251299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599656"/>
        <c:crosses val="autoZero"/>
        <c:crossBetween val="midCat"/>
      </c:valAx>
      <c:valAx>
        <c:axId val="264599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Drag (N)</a:t>
                </a:r>
              </a:p>
            </c:rich>
          </c:tx>
          <c:layout>
            <c:manualLayout>
              <c:xMode val="edge"/>
              <c:yMode val="edge"/>
              <c:x val="2.5890043212279147E-2"/>
              <c:y val="0.3819961043551511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6000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1406903984910743"/>
          <c:y val="0.47975212267521"/>
          <c:w val="0.33650230033033013"/>
          <c:h val="0.2990663989350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40 Degrees 
Keel SideForce Vs Boat Speed At Various Heel Angles</a:t>
            </a:r>
          </a:p>
        </c:rich>
      </c:tx>
      <c:layout>
        <c:manualLayout>
          <c:xMode val="edge"/>
          <c:yMode val="edge"/>
          <c:x val="0.19467213114754098"/>
          <c:y val="3.43750565662050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68852459016394"/>
          <c:y val="0.21875000000000031"/>
          <c:w val="0.52663934426229508"/>
          <c:h val="0.62500000000000122"/>
        </c:manualLayout>
      </c:layout>
      <c:scatterChart>
        <c:scatterStyle val="smoothMarker"/>
        <c:varyColors val="0"/>
        <c:ser>
          <c:idx val="0"/>
          <c:order val="0"/>
          <c:tx>
            <c:v>SF @ 00 Degs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Predictor'!$B$173:$B$179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Predictor'!$M$173:$M$179</c:f>
              <c:numCache>
                <c:formatCode>0.00</c:formatCode>
                <c:ptCount val="7"/>
                <c:pt idx="0">
                  <c:v>5610.9325987719012</c:v>
                </c:pt>
                <c:pt idx="1">
                  <c:v>8767.0821855810955</c:v>
                </c:pt>
                <c:pt idx="2">
                  <c:v>12624.598347236773</c:v>
                </c:pt>
                <c:pt idx="3">
                  <c:v>17183.481083738945</c:v>
                </c:pt>
                <c:pt idx="4">
                  <c:v>22443.730395087605</c:v>
                </c:pt>
                <c:pt idx="5">
                  <c:v>28405.346281282757</c:v>
                </c:pt>
                <c:pt idx="6">
                  <c:v>35068.328742324382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681-4370-96CB-398586F9246A}"/>
            </c:ext>
          </c:extLst>
        </c:ser>
        <c:ser>
          <c:idx val="1"/>
          <c:order val="1"/>
          <c:tx>
            <c:v>SF @ 10 Degs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Predictor'!$B$188:$B$194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Predictor'!$M$188:$M$194</c:f>
              <c:numCache>
                <c:formatCode>0.00</c:formatCode>
                <c:ptCount val="7"/>
                <c:pt idx="0">
                  <c:v>5093.5060393309359</c:v>
                </c:pt>
                <c:pt idx="1">
                  <c:v>7958.6031864545876</c:v>
                </c:pt>
                <c:pt idx="2">
                  <c:v>11460.388588494605</c:v>
                </c:pt>
                <c:pt idx="3">
                  <c:v>15598.862245450988</c:v>
                </c:pt>
                <c:pt idx="4">
                  <c:v>20374.024157323744</c:v>
                </c:pt>
                <c:pt idx="5">
                  <c:v>25785.874324112865</c:v>
                </c:pt>
                <c:pt idx="6">
                  <c:v>31834.41274581835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681-4370-96CB-398586F9246A}"/>
            </c:ext>
          </c:extLst>
        </c:ser>
        <c:ser>
          <c:idx val="2"/>
          <c:order val="2"/>
          <c:tx>
            <c:v>SF @ 20 Degs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Predictor'!$B$203:$B$209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Predictor'!$M$203:$M$209</c:f>
              <c:numCache>
                <c:formatCode>0.00</c:formatCode>
                <c:ptCount val="7"/>
                <c:pt idx="0">
                  <c:v>4099.1629352723485</c:v>
                </c:pt>
                <c:pt idx="1">
                  <c:v>6404.9420863630439</c:v>
                </c:pt>
                <c:pt idx="2">
                  <c:v>9223.1166043627836</c:v>
                </c:pt>
                <c:pt idx="3">
                  <c:v>12553.686489271564</c:v>
                </c:pt>
                <c:pt idx="4">
                  <c:v>16396.651741089394</c:v>
                </c:pt>
                <c:pt idx="5">
                  <c:v>20752.012359816265</c:v>
                </c:pt>
                <c:pt idx="6">
                  <c:v>25619.768345452176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681-4370-96CB-398586F9246A}"/>
            </c:ext>
          </c:extLst>
        </c:ser>
        <c:ser>
          <c:idx val="3"/>
          <c:order val="3"/>
          <c:tx>
            <c:v>SF @ 30 Degs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'Speed &amp; Leeway Predictor'!$B$218:$B$224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Predictor'!$M$218:$M$224</c:f>
              <c:numCache>
                <c:formatCode>0.00</c:formatCode>
                <c:ptCount val="7"/>
                <c:pt idx="0">
                  <c:v>2731.6586782629233</c:v>
                </c:pt>
                <c:pt idx="1">
                  <c:v>4268.2166847858171</c:v>
                </c:pt>
                <c:pt idx="2">
                  <c:v>6146.2320260915767</c:v>
                </c:pt>
                <c:pt idx="3">
                  <c:v>8365.7047021802009</c:v>
                </c:pt>
                <c:pt idx="4">
                  <c:v>10926.634713051693</c:v>
                </c:pt>
                <c:pt idx="5">
                  <c:v>13829.022058706054</c:v>
                </c:pt>
                <c:pt idx="6">
                  <c:v>17072.866739143268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681-4370-96CB-398586F9246A}"/>
            </c:ext>
          </c:extLst>
        </c:ser>
        <c:ser>
          <c:idx val="4"/>
          <c:order val="4"/>
          <c:tx>
            <c:v>Generated Sail Sideforce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'Speed &amp; Leeway Predictor'!$C$275:$D$275</c:f>
              <c:numCache>
                <c:formatCode>0.00</c:formatCode>
                <c:ptCount val="2"/>
                <c:pt idx="0">
                  <c:v>3.6769157823112311</c:v>
                </c:pt>
                <c:pt idx="1">
                  <c:v>12.692289455778077</c:v>
                </c:pt>
              </c:numCache>
            </c:numRef>
          </c:xVal>
          <c:yVal>
            <c:numRef>
              <c:f>'Speed &amp; Leeway Predictor'!$C$276:$D$276</c:f>
              <c:numCache>
                <c:formatCode>0.00</c:formatCode>
                <c:ptCount val="2"/>
                <c:pt idx="0">
                  <c:v>11093.070155121432</c:v>
                </c:pt>
                <c:pt idx="1">
                  <c:v>11093.070155121432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D681-4370-96CB-398586F9246A}"/>
            </c:ext>
          </c:extLst>
        </c:ser>
        <c:ser>
          <c:idx val="5"/>
          <c:order val="5"/>
          <c:tx>
            <c:v>Boat Speed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Predictor'!$C$277:$D$277</c:f>
              <c:numCache>
                <c:formatCode>0.00</c:formatCode>
                <c:ptCount val="2"/>
                <c:pt idx="0">
                  <c:v>7.9507568299290927</c:v>
                </c:pt>
                <c:pt idx="1">
                  <c:v>7.9507568299290927</c:v>
                </c:pt>
              </c:numCache>
            </c:numRef>
          </c:xVal>
          <c:yVal>
            <c:numRef>
              <c:f>'Speed &amp; Leeway Predictor'!$C$278:$D$278</c:f>
              <c:numCache>
                <c:formatCode>0.00</c:formatCode>
                <c:ptCount val="2"/>
                <c:pt idx="0">
                  <c:v>0</c:v>
                </c:pt>
                <c:pt idx="1">
                  <c:v>35068.328742324382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D681-4370-96CB-398586F92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807936"/>
        <c:axId val="263808720"/>
      </c:scatterChart>
      <c:valAx>
        <c:axId val="263807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Boat Speed (Knots)</a:t>
                </a:r>
              </a:p>
            </c:rich>
          </c:tx>
          <c:layout>
            <c:manualLayout>
              <c:xMode val="edge"/>
              <c:yMode val="edge"/>
              <c:x val="0.32786885245901715"/>
              <c:y val="0.9031248680121880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3808720"/>
        <c:crosses val="autoZero"/>
        <c:crossBetween val="midCat"/>
      </c:valAx>
      <c:valAx>
        <c:axId val="263808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Sail or Keel Sideforce (N)</a:t>
                </a:r>
              </a:p>
            </c:rich>
          </c:tx>
          <c:layout>
            <c:manualLayout>
              <c:xMode val="edge"/>
              <c:yMode val="edge"/>
              <c:x val="3.4836065573770607E-2"/>
              <c:y val="0.3531248680121887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38079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2950819672131151"/>
          <c:y val="0.27500015084321355"/>
          <c:w val="0.25409836065573765"/>
          <c:h val="0.4000000000000000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50 Degrees
Sail Drive Force (= Hull Drag) Vs Boat Speed (KTS) </a:t>
            </a:r>
          </a:p>
        </c:rich>
      </c:tx>
      <c:layout>
        <c:manualLayout>
          <c:xMode val="edge"/>
          <c:yMode val="edge"/>
          <c:x val="0.19201540872029818"/>
          <c:y val="3.42678368642315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152109961782239"/>
          <c:y val="0.21806919924673679"/>
          <c:w val="0.59125530170889318"/>
          <c:h val="0.56386464376656131"/>
        </c:manualLayout>
      </c:layout>
      <c:scatterChart>
        <c:scatterStyle val="smoothMarker"/>
        <c:varyColors val="0"/>
        <c:ser>
          <c:idx val="0"/>
          <c:order val="0"/>
          <c:tx>
            <c:v>Rt @ 10 degs heel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Predictor'!$B$186:$B$196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Predictor'!$O$186:$O$196</c:f>
              <c:numCache>
                <c:formatCode>0.00</c:formatCode>
                <c:ptCount val="11"/>
                <c:pt idx="0">
                  <c:v>146.06294324368423</c:v>
                </c:pt>
                <c:pt idx="1">
                  <c:v>351.75084513129627</c:v>
                </c:pt>
                <c:pt idx="2">
                  <c:v>676.89039412970442</c:v>
                </c:pt>
                <c:pt idx="3">
                  <c:v>1168.9129339295691</c:v>
                </c:pt>
                <c:pt idx="4">
                  <c:v>1792.9294015881223</c:v>
                </c:pt>
                <c:pt idx="5">
                  <c:v>2894.6626850656671</c:v>
                </c:pt>
                <c:pt idx="6">
                  <c:v>5349.556922344339</c:v>
                </c:pt>
                <c:pt idx="7">
                  <c:v>9037.4183260836162</c:v>
                </c:pt>
                <c:pt idx="8">
                  <c:v>13717.136080382717</c:v>
                </c:pt>
                <c:pt idx="9">
                  <c:v>17042.226583547152</c:v>
                </c:pt>
                <c:pt idx="10">
                  <c:v>19774.271630307234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B79-414A-9FEA-769EC3329D0A}"/>
            </c:ext>
          </c:extLst>
        </c:ser>
        <c:ser>
          <c:idx val="1"/>
          <c:order val="1"/>
          <c:tx>
            <c:v>Drive Force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Predictor'!$B$286:$B$287</c:f>
            </c:numRef>
          </c:xVal>
          <c:yVal>
            <c:numRef>
              <c:f>'Speed &amp; Leeway Predictor'!$C$286:$C$287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B79-414A-9FEA-769EC3329D0A}"/>
            </c:ext>
          </c:extLst>
        </c:ser>
        <c:ser>
          <c:idx val="2"/>
          <c:order val="2"/>
          <c:tx>
            <c:v> Boat Speed TWA 50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Predictor'!$D$286:$D$287</c:f>
            </c:numRef>
          </c:xVal>
          <c:yVal>
            <c:numRef>
              <c:f>'Speed &amp; Leeway Predictor'!$E$286:$E$287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B79-414A-9FEA-769EC3329D0A}"/>
            </c:ext>
          </c:extLst>
        </c:ser>
        <c:ser>
          <c:idx val="3"/>
          <c:order val="3"/>
          <c:tx>
            <c:v>Rt @ 20 degs heel</c:v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'Speed &amp; Leeway Predictor'!$B$201:$B$211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Predictor'!$O$201:$O$211</c:f>
              <c:numCache>
                <c:formatCode>0.00</c:formatCode>
                <c:ptCount val="11"/>
                <c:pt idx="0">
                  <c:v>147.22954125237138</c:v>
                </c:pt>
                <c:pt idx="1">
                  <c:v>357.65674755027493</c:v>
                </c:pt>
                <c:pt idx="2">
                  <c:v>695.55596226869875</c:v>
                </c:pt>
                <c:pt idx="3">
                  <c:v>1214.4831686439109</c:v>
                </c:pt>
                <c:pt idx="4">
                  <c:v>1887.4238402917808</c:v>
                </c:pt>
                <c:pt idx="5">
                  <c:v>3069.7252987442816</c:v>
                </c:pt>
                <c:pt idx="6">
                  <c:v>5648.2060125682474</c:v>
                </c:pt>
                <c:pt idx="7">
                  <c:v>9515.7964220208887</c:v>
                </c:pt>
                <c:pt idx="8">
                  <c:v>14446.259835812181</c:v>
                </c:pt>
                <c:pt idx="9">
                  <c:v>18109.73667387143</c:v>
                </c:pt>
                <c:pt idx="10">
                  <c:v>21286.18264956577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B79-414A-9FEA-769EC3329D0A}"/>
            </c:ext>
          </c:extLst>
        </c:ser>
        <c:ser>
          <c:idx val="4"/>
          <c:order val="4"/>
          <c:tx>
            <c:v>Rt @ 30 degs heel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'Speed &amp; Leeway Predictor'!$B$216:$B$226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Predictor'!$O$216:$O$226</c:f>
              <c:numCache>
                <c:formatCode>0.00</c:formatCode>
                <c:ptCount val="11"/>
                <c:pt idx="0">
                  <c:v>148.39613926105852</c:v>
                </c:pt>
                <c:pt idx="1">
                  <c:v>363.56264996925358</c:v>
                </c:pt>
                <c:pt idx="2">
                  <c:v>714.22153040769297</c:v>
                </c:pt>
                <c:pt idx="3">
                  <c:v>1260.0534033582524</c:v>
                </c:pt>
                <c:pt idx="4">
                  <c:v>1981.9182789954396</c:v>
                </c:pt>
                <c:pt idx="5">
                  <c:v>3244.7879124228957</c:v>
                </c:pt>
                <c:pt idx="6">
                  <c:v>5946.8551027921567</c:v>
                </c:pt>
                <c:pt idx="7">
                  <c:v>9994.1745179581594</c:v>
                </c:pt>
                <c:pt idx="8">
                  <c:v>15175.383591241647</c:v>
                </c:pt>
                <c:pt idx="9">
                  <c:v>19177.246764195712</c:v>
                </c:pt>
                <c:pt idx="10">
                  <c:v>22798.093668824309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EB79-414A-9FEA-769EC3329D0A}"/>
            </c:ext>
          </c:extLst>
        </c:ser>
        <c:ser>
          <c:idx val="5"/>
          <c:order val="5"/>
          <c:tx>
            <c:v>No heel Angle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Predictor'!$B$171:$B$181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Predictor'!$O$171:$O$181</c:f>
              <c:numCache>
                <c:formatCode>0.00</c:formatCode>
                <c:ptCount val="11"/>
                <c:pt idx="0">
                  <c:v>144.89634523499709</c:v>
                </c:pt>
                <c:pt idx="1">
                  <c:v>345.84494271231762</c:v>
                </c:pt>
                <c:pt idx="2">
                  <c:v>658.22482599071009</c:v>
                </c:pt>
                <c:pt idx="3">
                  <c:v>1123.3426992152276</c:v>
                </c:pt>
                <c:pt idx="4">
                  <c:v>1698.4349628844636</c:v>
                </c:pt>
                <c:pt idx="5">
                  <c:v>2719.6000713870526</c:v>
                </c:pt>
                <c:pt idx="6">
                  <c:v>5050.9078321204297</c:v>
                </c:pt>
                <c:pt idx="7">
                  <c:v>8559.0402301463437</c:v>
                </c:pt>
                <c:pt idx="8">
                  <c:v>12988.012324953252</c:v>
                </c:pt>
                <c:pt idx="9">
                  <c:v>15974.716493222872</c:v>
                </c:pt>
                <c:pt idx="10">
                  <c:v>18262.360611048694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EB79-414A-9FEA-769EC3329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810288"/>
        <c:axId val="263810680"/>
      </c:scatterChart>
      <c:valAx>
        <c:axId val="263810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Speed (knots)</a:t>
                </a:r>
              </a:p>
            </c:rich>
          </c:tx>
          <c:layout>
            <c:manualLayout>
              <c:xMode val="edge"/>
              <c:yMode val="edge"/>
              <c:x val="0.37378701236490003"/>
              <c:y val="0.907544465251299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3810680"/>
        <c:crosses val="autoZero"/>
        <c:crossBetween val="midCat"/>
      </c:valAx>
      <c:valAx>
        <c:axId val="2638106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Drag (N)</a:t>
                </a:r>
              </a:p>
            </c:rich>
          </c:tx>
          <c:layout>
            <c:manualLayout>
              <c:xMode val="edge"/>
              <c:yMode val="edge"/>
              <c:x val="2.5890043212279147E-2"/>
              <c:y val="0.3819961043551511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3810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1406903984910743"/>
          <c:y val="0.47975212267521"/>
          <c:w val="0.33650230033033013"/>
          <c:h val="0.2990663989350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50 Degrees 
Keel SideForce Vs Boat Speed At Various Heel Angles</a:t>
            </a:r>
          </a:p>
        </c:rich>
      </c:tx>
      <c:layout>
        <c:manualLayout>
          <c:xMode val="edge"/>
          <c:yMode val="edge"/>
          <c:x val="0.19467213114754098"/>
          <c:y val="3.43750565662050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68852459016394"/>
          <c:y val="0.21875000000000031"/>
          <c:w val="0.52663934426229508"/>
          <c:h val="0.62500000000000122"/>
        </c:manualLayout>
      </c:layout>
      <c:scatterChart>
        <c:scatterStyle val="smoothMarker"/>
        <c:varyColors val="0"/>
        <c:ser>
          <c:idx val="0"/>
          <c:order val="0"/>
          <c:tx>
            <c:v>SF @ 00 Degs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Predictor'!$B$173:$B$179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Predictor'!$P$173:$P$179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16B-4A61-9592-6A524FDA735C}"/>
            </c:ext>
          </c:extLst>
        </c:ser>
        <c:ser>
          <c:idx val="1"/>
          <c:order val="1"/>
          <c:tx>
            <c:v>SF @ 10 Degs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Predictor'!$B$188:$B$194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Predictor'!$P$188:$P$194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16B-4A61-9592-6A524FDA735C}"/>
            </c:ext>
          </c:extLst>
        </c:ser>
        <c:ser>
          <c:idx val="2"/>
          <c:order val="2"/>
          <c:tx>
            <c:v>SF @ 20 Degs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Predictor'!$B$203:$B$209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Predictor'!$P$203:$P$209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16B-4A61-9592-6A524FDA735C}"/>
            </c:ext>
          </c:extLst>
        </c:ser>
        <c:ser>
          <c:idx val="3"/>
          <c:order val="3"/>
          <c:tx>
            <c:v>SF @ 30 Degs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'Speed &amp; Leeway Predictor'!$B$218:$B$224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Predictor'!$P$218:$P$224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16B-4A61-9592-6A524FDA735C}"/>
            </c:ext>
          </c:extLst>
        </c:ser>
        <c:ser>
          <c:idx val="4"/>
          <c:order val="4"/>
          <c:tx>
            <c:v>Generated Sail Sideforce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'Speed &amp; Leeway Predictor'!$C$292:$D$292</c:f>
            </c:numRef>
          </c:xVal>
          <c:yVal>
            <c:numRef>
              <c:f>'Speed &amp; Leeway Predictor'!$C$293:$D$293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516B-4A61-9592-6A524FDA735C}"/>
            </c:ext>
          </c:extLst>
        </c:ser>
        <c:ser>
          <c:idx val="5"/>
          <c:order val="5"/>
          <c:tx>
            <c:v>Boat Speed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Predictor'!$C$294:$D$294</c:f>
            </c:numRef>
          </c:xVal>
          <c:yVal>
            <c:numRef>
              <c:f>'Speed &amp; Leeway Predictor'!$C$295:$D$295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516B-4A61-9592-6A524FDA7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597696"/>
        <c:axId val="264598872"/>
      </c:scatterChart>
      <c:valAx>
        <c:axId val="264597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Boat Speed (Knots)</a:t>
                </a:r>
              </a:p>
            </c:rich>
          </c:tx>
          <c:layout>
            <c:manualLayout>
              <c:xMode val="edge"/>
              <c:yMode val="edge"/>
              <c:x val="0.32786885245901715"/>
              <c:y val="0.9031248680121880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598872"/>
        <c:crosses val="autoZero"/>
        <c:crossBetween val="midCat"/>
      </c:valAx>
      <c:valAx>
        <c:axId val="264598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Sail or Keel Sideforce (N)</a:t>
                </a:r>
              </a:p>
            </c:rich>
          </c:tx>
          <c:layout>
            <c:manualLayout>
              <c:xMode val="edge"/>
              <c:yMode val="edge"/>
              <c:x val="3.4836065573770607E-2"/>
              <c:y val="0.3531248680121887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5976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2950819672131151"/>
          <c:y val="0.27500015084321355"/>
          <c:w val="0.25409836065573765"/>
          <c:h val="0.4000000000000000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65 Degrees
Sail Drive Force (= Hull Drag) Vs Boat Speed (KTS) </a:t>
            </a:r>
          </a:p>
        </c:rich>
      </c:tx>
      <c:layout>
        <c:manualLayout>
          <c:xMode val="edge"/>
          <c:yMode val="edge"/>
          <c:x val="0.19433962264150917"/>
          <c:y val="3.30331636722206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1320754717027"/>
          <c:y val="0.20720781486901421"/>
          <c:w val="0.59433962264150964"/>
          <c:h val="0.58258429108099496"/>
        </c:manualLayout>
      </c:layout>
      <c:scatterChart>
        <c:scatterStyle val="smoothMarker"/>
        <c:varyColors val="0"/>
        <c:ser>
          <c:idx val="0"/>
          <c:order val="0"/>
          <c:tx>
            <c:v>Rt @ 10 degs heel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Predictor'!$B$186:$B$196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Predictor'!$R$186:$R$196</c:f>
              <c:numCache>
                <c:formatCode>0.00</c:formatCode>
                <c:ptCount val="11"/>
                <c:pt idx="0">
                  <c:v>146.06294324368423</c:v>
                </c:pt>
                <c:pt idx="1">
                  <c:v>351.75084513129627</c:v>
                </c:pt>
                <c:pt idx="2">
                  <c:v>676.89039412970442</c:v>
                </c:pt>
                <c:pt idx="3">
                  <c:v>1168.9129339295691</c:v>
                </c:pt>
                <c:pt idx="4">
                  <c:v>1792.9294015881223</c:v>
                </c:pt>
                <c:pt idx="5">
                  <c:v>2894.6626850656671</c:v>
                </c:pt>
                <c:pt idx="6">
                  <c:v>5349.556922344339</c:v>
                </c:pt>
                <c:pt idx="7">
                  <c:v>9037.4183260836162</c:v>
                </c:pt>
                <c:pt idx="8">
                  <c:v>13717.136080382717</c:v>
                </c:pt>
                <c:pt idx="9">
                  <c:v>17042.226583547152</c:v>
                </c:pt>
                <c:pt idx="10">
                  <c:v>19774.271630307234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016-4050-B654-0F331C383AC5}"/>
            </c:ext>
          </c:extLst>
        </c:ser>
        <c:ser>
          <c:idx val="1"/>
          <c:order val="1"/>
          <c:tx>
            <c:v>Drive Force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Predictor'!$B$302:$B$303</c:f>
            </c:numRef>
          </c:xVal>
          <c:yVal>
            <c:numRef>
              <c:f>'Speed &amp; Leeway Predictor'!$C$302:$C$303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16-4050-B654-0F331C383AC5}"/>
            </c:ext>
          </c:extLst>
        </c:ser>
        <c:ser>
          <c:idx val="2"/>
          <c:order val="2"/>
          <c:tx>
            <c:v> Boat Speed TWA 65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Predictor'!$D$302:$D$303</c:f>
            </c:numRef>
          </c:xVal>
          <c:yVal>
            <c:numRef>
              <c:f>'Speed &amp; Leeway Predictor'!$E$302:$E$303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16-4050-B654-0F331C383AC5}"/>
            </c:ext>
          </c:extLst>
        </c:ser>
        <c:ser>
          <c:idx val="3"/>
          <c:order val="3"/>
          <c:tx>
            <c:v>Rt @ 20 degs heel</c:v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'Speed &amp; Leeway Predictor'!$B$201:$B$211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Predictor'!$R$201:$R$211</c:f>
              <c:numCache>
                <c:formatCode>0.00</c:formatCode>
                <c:ptCount val="11"/>
                <c:pt idx="0">
                  <c:v>147.22954125237138</c:v>
                </c:pt>
                <c:pt idx="1">
                  <c:v>357.65674755027493</c:v>
                </c:pt>
                <c:pt idx="2">
                  <c:v>695.55596226869875</c:v>
                </c:pt>
                <c:pt idx="3">
                  <c:v>1214.4831686439109</c:v>
                </c:pt>
                <c:pt idx="4">
                  <c:v>1887.4238402917808</c:v>
                </c:pt>
                <c:pt idx="5">
                  <c:v>3069.7252987442816</c:v>
                </c:pt>
                <c:pt idx="6">
                  <c:v>5648.2060125682474</c:v>
                </c:pt>
                <c:pt idx="7">
                  <c:v>9515.7964220208887</c:v>
                </c:pt>
                <c:pt idx="8">
                  <c:v>14446.259835812181</c:v>
                </c:pt>
                <c:pt idx="9">
                  <c:v>18109.73667387143</c:v>
                </c:pt>
                <c:pt idx="10">
                  <c:v>21286.18264956577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016-4050-B654-0F331C383AC5}"/>
            </c:ext>
          </c:extLst>
        </c:ser>
        <c:ser>
          <c:idx val="4"/>
          <c:order val="4"/>
          <c:tx>
            <c:v>Rt @ 30 degs heel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'Speed &amp; Leeway Predictor'!$B$216:$B$226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Predictor'!$R$216:$R$226</c:f>
              <c:numCache>
                <c:formatCode>0.00</c:formatCode>
                <c:ptCount val="11"/>
                <c:pt idx="0">
                  <c:v>148.39613926105852</c:v>
                </c:pt>
                <c:pt idx="1">
                  <c:v>363.56264996925358</c:v>
                </c:pt>
                <c:pt idx="2">
                  <c:v>714.22153040769297</c:v>
                </c:pt>
                <c:pt idx="3">
                  <c:v>1260.0534033582524</c:v>
                </c:pt>
                <c:pt idx="4">
                  <c:v>1981.9182789954396</c:v>
                </c:pt>
                <c:pt idx="5">
                  <c:v>3244.7879124228957</c:v>
                </c:pt>
                <c:pt idx="6">
                  <c:v>5946.8551027921567</c:v>
                </c:pt>
                <c:pt idx="7">
                  <c:v>9994.1745179581594</c:v>
                </c:pt>
                <c:pt idx="8">
                  <c:v>15175.383591241647</c:v>
                </c:pt>
                <c:pt idx="9">
                  <c:v>19177.246764195712</c:v>
                </c:pt>
                <c:pt idx="10">
                  <c:v>22798.093668824309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016-4050-B654-0F331C383AC5}"/>
            </c:ext>
          </c:extLst>
        </c:ser>
        <c:ser>
          <c:idx val="5"/>
          <c:order val="5"/>
          <c:tx>
            <c:v>No heel Angle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Predictor'!$B$171:$B$181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Predictor'!$R$171:$R$181</c:f>
              <c:numCache>
                <c:formatCode>0.00</c:formatCode>
                <c:ptCount val="11"/>
                <c:pt idx="0">
                  <c:v>144.89634523499709</c:v>
                </c:pt>
                <c:pt idx="1">
                  <c:v>345.84494271231762</c:v>
                </c:pt>
                <c:pt idx="2">
                  <c:v>658.22482599071009</c:v>
                </c:pt>
                <c:pt idx="3">
                  <c:v>1123.3426992152276</c:v>
                </c:pt>
                <c:pt idx="4">
                  <c:v>1698.4349628844636</c:v>
                </c:pt>
                <c:pt idx="5">
                  <c:v>2719.6000713870526</c:v>
                </c:pt>
                <c:pt idx="6">
                  <c:v>5050.9078321204297</c:v>
                </c:pt>
                <c:pt idx="7">
                  <c:v>8559.0402301463437</c:v>
                </c:pt>
                <c:pt idx="8">
                  <c:v>12988.012324953252</c:v>
                </c:pt>
                <c:pt idx="9">
                  <c:v>15974.716493222872</c:v>
                </c:pt>
                <c:pt idx="10">
                  <c:v>18262.360611048694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A016-4050-B654-0F331C383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05504"/>
        <c:axId val="192407464"/>
      </c:scatterChart>
      <c:valAx>
        <c:axId val="19240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Speed (knots)</a:t>
                </a:r>
              </a:p>
            </c:rich>
          </c:tx>
          <c:layout>
            <c:manualLayout>
              <c:xMode val="edge"/>
              <c:yMode val="edge"/>
              <c:x val="0.37378695587579924"/>
              <c:y val="0.90754484418729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407464"/>
        <c:crosses val="autoZero"/>
        <c:crossBetween val="midCat"/>
      </c:valAx>
      <c:valAx>
        <c:axId val="192407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Drag (N)</a:t>
                </a:r>
              </a:p>
            </c:rich>
          </c:tx>
          <c:layout>
            <c:manualLayout>
              <c:xMode val="edge"/>
              <c:yMode val="edge"/>
              <c:x val="2.588996186797415E-2"/>
              <c:y val="0.3819962007511493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4055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1698113207547411"/>
          <c:y val="0.48648801496498151"/>
          <c:w val="0.3339622641509451"/>
          <c:h val="0.288289322950654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 paperSize="9"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65 Degrees 
Keel SideForce Vs Boat Speed At Various Heel Angles</a:t>
            </a:r>
          </a:p>
        </c:rich>
      </c:tx>
      <c:layout>
        <c:manualLayout>
          <c:xMode val="edge"/>
          <c:yMode val="edge"/>
          <c:x val="0.22"/>
          <c:y val="2.976190989824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000000000000024"/>
          <c:y val="0.21726253622156436"/>
          <c:w val="0.53800000000000003"/>
          <c:h val="0.63393041390675564"/>
        </c:manualLayout>
      </c:layout>
      <c:scatterChart>
        <c:scatterStyle val="smoothMarker"/>
        <c:varyColors val="0"/>
        <c:ser>
          <c:idx val="0"/>
          <c:order val="0"/>
          <c:tx>
            <c:v>SF @ 00 Degs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Predictor'!$B$173:$B$179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Predictor'!$S$173:$S$179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C82-4B3B-9F0C-28BE80780BBB}"/>
            </c:ext>
          </c:extLst>
        </c:ser>
        <c:ser>
          <c:idx val="1"/>
          <c:order val="1"/>
          <c:tx>
            <c:v>SF @ 10 Degs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Predictor'!$B$188:$B$194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Predictor'!$S$188:$S$194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C82-4B3B-9F0C-28BE80780BBB}"/>
            </c:ext>
          </c:extLst>
        </c:ser>
        <c:ser>
          <c:idx val="2"/>
          <c:order val="2"/>
          <c:tx>
            <c:v>SF @ 20 Degs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Predictor'!$B$203:$B$209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Predictor'!$S$203:$S$209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C82-4B3B-9F0C-28BE80780BBB}"/>
            </c:ext>
          </c:extLst>
        </c:ser>
        <c:ser>
          <c:idx val="3"/>
          <c:order val="3"/>
          <c:tx>
            <c:v>SF @ 30 Degs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'Speed &amp; Leeway Predictor'!$B$218:$B$224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Predictor'!$S$218:$S$224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C82-4B3B-9F0C-28BE80780BBB}"/>
            </c:ext>
          </c:extLst>
        </c:ser>
        <c:ser>
          <c:idx val="4"/>
          <c:order val="4"/>
          <c:tx>
            <c:v>Generated Sail Sideforce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'Speed &amp; Leeway Predictor'!$C$308:$D$308</c:f>
            </c:numRef>
          </c:xVal>
          <c:yVal>
            <c:numRef>
              <c:f>'Speed &amp; Leeway Predictor'!$C$309:$D$309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FC82-4B3B-9F0C-28BE80780BBB}"/>
            </c:ext>
          </c:extLst>
        </c:ser>
        <c:ser>
          <c:idx val="5"/>
          <c:order val="5"/>
          <c:tx>
            <c:v>Boat Speed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Predictor'!$C$310:$D$310</c:f>
            </c:numRef>
          </c:xVal>
          <c:yVal>
            <c:numRef>
              <c:f>'Speed &amp; Leeway Predictor'!$C$311:$D$311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FC82-4B3B-9F0C-28BE80780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410856"/>
        <c:axId val="264412816"/>
      </c:scatterChart>
      <c:valAx>
        <c:axId val="264410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Boat Speed (Knots)</a:t>
                </a:r>
              </a:p>
            </c:rich>
          </c:tx>
          <c:layout>
            <c:manualLayout>
              <c:xMode val="edge"/>
              <c:yMode val="edge"/>
              <c:x val="0.33200000000000074"/>
              <c:y val="0.9077406967964626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412816"/>
        <c:crosses val="autoZero"/>
        <c:crossBetween val="midCat"/>
      </c:valAx>
      <c:valAx>
        <c:axId val="2644128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Sail or Keel Sideforce (N)</a:t>
                </a:r>
              </a:p>
            </c:rich>
          </c:tx>
          <c:layout>
            <c:manualLayout>
              <c:xMode val="edge"/>
              <c:yMode val="edge"/>
              <c:x val="3.4000000000000002E-2"/>
              <c:y val="0.363096106137417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4108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400000000000065"/>
          <c:y val="0.28571531298313729"/>
          <c:w val="0.24800000000000028"/>
          <c:h val="0.380953654765757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80 Degrees
Sail Drive Force (= Hull Drag) Vs Boat Speed (KTS) </a:t>
            </a:r>
          </a:p>
        </c:rich>
      </c:tx>
      <c:layout>
        <c:manualLayout>
          <c:xMode val="edge"/>
          <c:yMode val="edge"/>
          <c:x val="0.19470719279182777"/>
          <c:y val="3.36391518475920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48789587508148"/>
          <c:y val="0.21406791758624141"/>
          <c:w val="0.59357332671214535"/>
          <c:h val="0.57186715126610066"/>
        </c:manualLayout>
      </c:layout>
      <c:scatterChart>
        <c:scatterStyle val="smoothMarker"/>
        <c:varyColors val="0"/>
        <c:ser>
          <c:idx val="0"/>
          <c:order val="0"/>
          <c:tx>
            <c:v>Rt @ 10 degs heel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Predictor'!$B$186:$B$196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Predictor'!$U$186:$U$196</c:f>
              <c:numCache>
                <c:formatCode>0.00</c:formatCode>
                <c:ptCount val="11"/>
                <c:pt idx="0">
                  <c:v>146.06294324368423</c:v>
                </c:pt>
                <c:pt idx="1">
                  <c:v>351.75084513129627</c:v>
                </c:pt>
                <c:pt idx="2">
                  <c:v>676.89039412970442</c:v>
                </c:pt>
                <c:pt idx="3">
                  <c:v>1168.9129339295691</c:v>
                </c:pt>
                <c:pt idx="4">
                  <c:v>1792.9294015881223</c:v>
                </c:pt>
                <c:pt idx="5">
                  <c:v>2894.6626850656671</c:v>
                </c:pt>
                <c:pt idx="6">
                  <c:v>5349.556922344339</c:v>
                </c:pt>
                <c:pt idx="7">
                  <c:v>9037.4183260836162</c:v>
                </c:pt>
                <c:pt idx="8">
                  <c:v>13717.136080382717</c:v>
                </c:pt>
                <c:pt idx="9">
                  <c:v>17042.226583547152</c:v>
                </c:pt>
                <c:pt idx="10">
                  <c:v>19774.271630307234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E87-4130-94D0-B6EDBE6282C9}"/>
            </c:ext>
          </c:extLst>
        </c:ser>
        <c:ser>
          <c:idx val="1"/>
          <c:order val="1"/>
          <c:tx>
            <c:v>Drive Force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Predictor'!$B$318:$B$319</c:f>
            </c:numRef>
          </c:xVal>
          <c:yVal>
            <c:numRef>
              <c:f>'Speed &amp; Leeway Predictor'!$C$318:$C$319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E87-4130-94D0-B6EDBE6282C9}"/>
            </c:ext>
          </c:extLst>
        </c:ser>
        <c:ser>
          <c:idx val="2"/>
          <c:order val="2"/>
          <c:tx>
            <c:v> Boat Speed TWA 80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Predictor'!$D$318:$D$319</c:f>
            </c:numRef>
          </c:xVal>
          <c:yVal>
            <c:numRef>
              <c:f>'Speed &amp; Leeway Predictor'!$E$318:$E$319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E87-4130-94D0-B6EDBE6282C9}"/>
            </c:ext>
          </c:extLst>
        </c:ser>
        <c:ser>
          <c:idx val="3"/>
          <c:order val="3"/>
          <c:tx>
            <c:v>Rt @ 20 degs heel</c:v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'Speed &amp; Leeway Predictor'!$B$201:$B$211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Predictor'!$U$201:$U$211</c:f>
              <c:numCache>
                <c:formatCode>0.00</c:formatCode>
                <c:ptCount val="11"/>
                <c:pt idx="0">
                  <c:v>147.22954125237138</c:v>
                </c:pt>
                <c:pt idx="1">
                  <c:v>357.65674755027493</c:v>
                </c:pt>
                <c:pt idx="2">
                  <c:v>695.55596226869875</c:v>
                </c:pt>
                <c:pt idx="3">
                  <c:v>1214.4831686439109</c:v>
                </c:pt>
                <c:pt idx="4">
                  <c:v>1887.4238402917808</c:v>
                </c:pt>
                <c:pt idx="5">
                  <c:v>3069.7252987442816</c:v>
                </c:pt>
                <c:pt idx="6">
                  <c:v>5648.2060125682474</c:v>
                </c:pt>
                <c:pt idx="7">
                  <c:v>9515.7964220208887</c:v>
                </c:pt>
                <c:pt idx="8">
                  <c:v>14446.259835812181</c:v>
                </c:pt>
                <c:pt idx="9">
                  <c:v>18109.73667387143</c:v>
                </c:pt>
                <c:pt idx="10">
                  <c:v>21286.18264956577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E87-4130-94D0-B6EDBE6282C9}"/>
            </c:ext>
          </c:extLst>
        </c:ser>
        <c:ser>
          <c:idx val="4"/>
          <c:order val="4"/>
          <c:tx>
            <c:v>Rt @ 30 degs heel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'Speed &amp; Leeway Predictor'!$B$216:$B$226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Predictor'!$U$216:$U$226</c:f>
              <c:numCache>
                <c:formatCode>0.00</c:formatCode>
                <c:ptCount val="11"/>
                <c:pt idx="0">
                  <c:v>148.39613926105852</c:v>
                </c:pt>
                <c:pt idx="1">
                  <c:v>363.56264996925358</c:v>
                </c:pt>
                <c:pt idx="2">
                  <c:v>714.22153040769297</c:v>
                </c:pt>
                <c:pt idx="3">
                  <c:v>1260.0534033582524</c:v>
                </c:pt>
                <c:pt idx="4">
                  <c:v>1981.9182789954396</c:v>
                </c:pt>
                <c:pt idx="5">
                  <c:v>3244.7879124228957</c:v>
                </c:pt>
                <c:pt idx="6">
                  <c:v>5946.8551027921567</c:v>
                </c:pt>
                <c:pt idx="7">
                  <c:v>9994.1745179581594</c:v>
                </c:pt>
                <c:pt idx="8">
                  <c:v>15175.383591241647</c:v>
                </c:pt>
                <c:pt idx="9">
                  <c:v>19177.246764195712</c:v>
                </c:pt>
                <c:pt idx="10">
                  <c:v>22798.093668824309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4E87-4130-94D0-B6EDBE6282C9}"/>
            </c:ext>
          </c:extLst>
        </c:ser>
        <c:ser>
          <c:idx val="5"/>
          <c:order val="5"/>
          <c:tx>
            <c:v>No heel Angle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Predictor'!$B$171:$B$181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Predictor'!$U$171:$U$181</c:f>
              <c:numCache>
                <c:formatCode>0.00</c:formatCode>
                <c:ptCount val="11"/>
                <c:pt idx="0">
                  <c:v>144.89634523499709</c:v>
                </c:pt>
                <c:pt idx="1">
                  <c:v>345.84494271231762</c:v>
                </c:pt>
                <c:pt idx="2">
                  <c:v>658.22482599071009</c:v>
                </c:pt>
                <c:pt idx="3">
                  <c:v>1123.3426992152276</c:v>
                </c:pt>
                <c:pt idx="4">
                  <c:v>1698.4349628844636</c:v>
                </c:pt>
                <c:pt idx="5">
                  <c:v>2719.6000713870526</c:v>
                </c:pt>
                <c:pt idx="6">
                  <c:v>5050.9078321204297</c:v>
                </c:pt>
                <c:pt idx="7">
                  <c:v>8559.0402301463437</c:v>
                </c:pt>
                <c:pt idx="8">
                  <c:v>12988.012324953252</c:v>
                </c:pt>
                <c:pt idx="9">
                  <c:v>15974.716493222872</c:v>
                </c:pt>
                <c:pt idx="10">
                  <c:v>18262.360611048694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4E87-4130-94D0-B6EDBE628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225936"/>
        <c:axId val="264244784"/>
      </c:scatterChart>
      <c:valAx>
        <c:axId val="260225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Speed (knots)</a:t>
                </a:r>
              </a:p>
            </c:rich>
          </c:tx>
          <c:layout>
            <c:manualLayout>
              <c:xMode val="edge"/>
              <c:yMode val="edge"/>
              <c:x val="0.3737868210708078"/>
              <c:y val="0.9075448995841827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244784"/>
        <c:crosses val="autoZero"/>
        <c:crossBetween val="midCat"/>
      </c:valAx>
      <c:valAx>
        <c:axId val="2642447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Drag (N)</a:t>
                </a:r>
              </a:p>
            </c:rich>
          </c:tx>
          <c:layout>
            <c:manualLayout>
              <c:xMode val="edge"/>
              <c:yMode val="edge"/>
              <c:x val="2.5889882857270494E-2"/>
              <c:y val="0.3819962251909533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02259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848791112831121"/>
          <c:y val="0.18960305523607301"/>
          <c:w val="0.33459396970463889"/>
          <c:h val="0.293578990828394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80 Degrees 
Keel SideForce Vs Boat Speed At Various Heel Angles</a:t>
            </a:r>
          </a:p>
        </c:rich>
      </c:tx>
      <c:layout>
        <c:manualLayout>
          <c:xMode val="edge"/>
          <c:yMode val="edge"/>
          <c:x val="0.22044109215806976"/>
          <c:y val="2.77778025622152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030074827462372"/>
          <c:y val="0.22839575013186675"/>
          <c:w val="0.53507066385765956"/>
          <c:h val="0.61728581116720671"/>
        </c:manualLayout>
      </c:layout>
      <c:scatterChart>
        <c:scatterStyle val="smoothMarker"/>
        <c:varyColors val="0"/>
        <c:ser>
          <c:idx val="0"/>
          <c:order val="0"/>
          <c:tx>
            <c:v>SF @ 00 Degs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Predictor'!$B$173:$B$179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Predictor'!$V$173:$V$179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3A6-4C79-98C5-8925C5C156D9}"/>
            </c:ext>
          </c:extLst>
        </c:ser>
        <c:ser>
          <c:idx val="1"/>
          <c:order val="1"/>
          <c:tx>
            <c:v>SF @ 10 Degs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Predictor'!$B$188:$B$194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Predictor'!$V$188:$V$194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3A6-4C79-98C5-8925C5C156D9}"/>
            </c:ext>
          </c:extLst>
        </c:ser>
        <c:ser>
          <c:idx val="2"/>
          <c:order val="2"/>
          <c:tx>
            <c:v>SF @ 20 Degs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Predictor'!$B$203:$B$209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Predictor'!$V$203:$V$209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3A6-4C79-98C5-8925C5C156D9}"/>
            </c:ext>
          </c:extLst>
        </c:ser>
        <c:ser>
          <c:idx val="3"/>
          <c:order val="3"/>
          <c:tx>
            <c:v>SF @ 30 Degs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'Speed &amp; Leeway Predictor'!$B$218:$B$224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Predictor'!$V$218:$V$224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3A6-4C79-98C5-8925C5C156D9}"/>
            </c:ext>
          </c:extLst>
        </c:ser>
        <c:ser>
          <c:idx val="4"/>
          <c:order val="4"/>
          <c:tx>
            <c:v>Generated Sail Sideforce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'Speed &amp; Leeway Predictor'!$C$324:$D$324</c:f>
            </c:numRef>
          </c:xVal>
          <c:yVal>
            <c:numRef>
              <c:f>'Speed &amp; Leeway Predictor'!$C$325:$D$325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43A6-4C79-98C5-8925C5C156D9}"/>
            </c:ext>
          </c:extLst>
        </c:ser>
        <c:ser>
          <c:idx val="5"/>
          <c:order val="5"/>
          <c:tx>
            <c:v>Boat Speed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Predictor'!$C$326:$D$326</c:f>
            </c:numRef>
          </c:xVal>
          <c:yVal>
            <c:numRef>
              <c:f>'Speed &amp; Leeway Predictor'!$C$327:$D$327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43A6-4C79-98C5-8925C5C15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158704"/>
        <c:axId val="267845560"/>
      </c:scatterChart>
      <c:valAx>
        <c:axId val="264158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Boat Speed (Knots)</a:t>
                </a:r>
              </a:p>
            </c:rich>
          </c:tx>
          <c:layout>
            <c:manualLayout>
              <c:xMode val="edge"/>
              <c:yMode val="edge"/>
              <c:x val="0.33066174343437532"/>
              <c:y val="0.904323645096770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7845560"/>
        <c:crosses val="autoZero"/>
        <c:crossBetween val="midCat"/>
      </c:valAx>
      <c:valAx>
        <c:axId val="267845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Sail or Keel Sideforce (N)</a:t>
                </a:r>
              </a:p>
            </c:rich>
          </c:tx>
          <c:layout>
            <c:manualLayout>
              <c:xMode val="edge"/>
              <c:yMode val="edge"/>
              <c:x val="3.406813627254509E-2"/>
              <c:y val="0.361112028135293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4158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346756505136068"/>
          <c:y val="0.28395172982980627"/>
          <c:w val="0.24849720438251877"/>
          <c:h val="0.3950629400786667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100 Degrees
Sail Drive Force (= Hull Drag) Vs Boat Speed (KTS) </a:t>
            </a:r>
          </a:p>
        </c:rich>
      </c:tx>
      <c:layout>
        <c:manualLayout>
          <c:xMode val="edge"/>
          <c:yMode val="edge"/>
          <c:x val="0.19470719279182777"/>
          <c:y val="3.44828635550991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48789587508148"/>
          <c:y val="0.21943607255962375"/>
          <c:w val="0.59357332671214535"/>
          <c:h val="0.56112938554532221"/>
        </c:manualLayout>
      </c:layout>
      <c:scatterChart>
        <c:scatterStyle val="smoothMarker"/>
        <c:varyColors val="0"/>
        <c:ser>
          <c:idx val="0"/>
          <c:order val="0"/>
          <c:tx>
            <c:v>Rt @ 10 degs heel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Predictor'!$B$186:$B$196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Predictor'!$X$186:$X$196</c:f>
              <c:numCache>
                <c:formatCode>0.00</c:formatCode>
                <c:ptCount val="11"/>
                <c:pt idx="0">
                  <c:v>146.06294324368423</c:v>
                </c:pt>
                <c:pt idx="1">
                  <c:v>351.75084513129627</c:v>
                </c:pt>
                <c:pt idx="2">
                  <c:v>676.89039412970442</c:v>
                </c:pt>
                <c:pt idx="3">
                  <c:v>1168.9129339295691</c:v>
                </c:pt>
                <c:pt idx="4">
                  <c:v>1792.9294015881223</c:v>
                </c:pt>
                <c:pt idx="5">
                  <c:v>2894.6626850656671</c:v>
                </c:pt>
                <c:pt idx="6">
                  <c:v>5349.556922344339</c:v>
                </c:pt>
                <c:pt idx="7">
                  <c:v>9037.4183260836162</c:v>
                </c:pt>
                <c:pt idx="8">
                  <c:v>13717.136080382717</c:v>
                </c:pt>
                <c:pt idx="9">
                  <c:v>17042.226583547152</c:v>
                </c:pt>
                <c:pt idx="10">
                  <c:v>19774.271630307234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75B-4766-A2AB-B814B9A08213}"/>
            </c:ext>
          </c:extLst>
        </c:ser>
        <c:ser>
          <c:idx val="1"/>
          <c:order val="1"/>
          <c:tx>
            <c:v>Drive Force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Predictor'!$B$335:$B$336</c:f>
            </c:numRef>
          </c:xVal>
          <c:yVal>
            <c:numRef>
              <c:f>'Speed &amp; Leeway Predictor'!$C$335:$C$336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5B-4766-A2AB-B814B9A08213}"/>
            </c:ext>
          </c:extLst>
        </c:ser>
        <c:ser>
          <c:idx val="2"/>
          <c:order val="2"/>
          <c:tx>
            <c:v> Boat Speed TWA 100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Predictor'!$D$335:$D$336</c:f>
            </c:numRef>
          </c:xVal>
          <c:yVal>
            <c:numRef>
              <c:f>'Speed &amp; Leeway Predictor'!$E$335:$E$336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75B-4766-A2AB-B814B9A08213}"/>
            </c:ext>
          </c:extLst>
        </c:ser>
        <c:ser>
          <c:idx val="3"/>
          <c:order val="3"/>
          <c:tx>
            <c:v>Rt @ 20 degs heel</c:v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'Speed &amp; Leeway Predictor'!$B$201:$B$211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Predictor'!$X$201:$X$211</c:f>
              <c:numCache>
                <c:formatCode>0.00</c:formatCode>
                <c:ptCount val="11"/>
                <c:pt idx="0">
                  <c:v>147.22954125237138</c:v>
                </c:pt>
                <c:pt idx="1">
                  <c:v>357.65674755027493</c:v>
                </c:pt>
                <c:pt idx="2">
                  <c:v>695.55596226869875</c:v>
                </c:pt>
                <c:pt idx="3">
                  <c:v>1214.4831686439109</c:v>
                </c:pt>
                <c:pt idx="4">
                  <c:v>1887.4238402917808</c:v>
                </c:pt>
                <c:pt idx="5">
                  <c:v>3069.7252987442816</c:v>
                </c:pt>
                <c:pt idx="6">
                  <c:v>5648.2060125682474</c:v>
                </c:pt>
                <c:pt idx="7">
                  <c:v>9515.7964220208887</c:v>
                </c:pt>
                <c:pt idx="8">
                  <c:v>14446.259835812181</c:v>
                </c:pt>
                <c:pt idx="9">
                  <c:v>18109.73667387143</c:v>
                </c:pt>
                <c:pt idx="10">
                  <c:v>21286.18264956577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75B-4766-A2AB-B814B9A08213}"/>
            </c:ext>
          </c:extLst>
        </c:ser>
        <c:ser>
          <c:idx val="4"/>
          <c:order val="4"/>
          <c:tx>
            <c:v>Rt @ 30 degs heel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'Speed &amp; Leeway Predictor'!$B$216:$B$226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Predictor'!$X$216:$X$226</c:f>
              <c:numCache>
                <c:formatCode>0.00</c:formatCode>
                <c:ptCount val="11"/>
                <c:pt idx="0">
                  <c:v>148.39613926105852</c:v>
                </c:pt>
                <c:pt idx="1">
                  <c:v>363.56264996925358</c:v>
                </c:pt>
                <c:pt idx="2">
                  <c:v>714.22153040769297</c:v>
                </c:pt>
                <c:pt idx="3">
                  <c:v>1260.0534033582524</c:v>
                </c:pt>
                <c:pt idx="4">
                  <c:v>1981.9182789954396</c:v>
                </c:pt>
                <c:pt idx="5">
                  <c:v>3244.7879124228957</c:v>
                </c:pt>
                <c:pt idx="6">
                  <c:v>5946.8551027921567</c:v>
                </c:pt>
                <c:pt idx="7">
                  <c:v>9994.1745179581594</c:v>
                </c:pt>
                <c:pt idx="8">
                  <c:v>15175.383591241647</c:v>
                </c:pt>
                <c:pt idx="9">
                  <c:v>19177.246764195712</c:v>
                </c:pt>
                <c:pt idx="10">
                  <c:v>22798.093668824309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475B-4766-A2AB-B814B9A08213}"/>
            </c:ext>
          </c:extLst>
        </c:ser>
        <c:ser>
          <c:idx val="5"/>
          <c:order val="5"/>
          <c:tx>
            <c:v>No heel Angle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Predictor'!$B$171:$B$181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Predictor'!$X$171:$X$181</c:f>
              <c:numCache>
                <c:formatCode>0.00</c:formatCode>
                <c:ptCount val="11"/>
                <c:pt idx="0">
                  <c:v>144.89634523499709</c:v>
                </c:pt>
                <c:pt idx="1">
                  <c:v>345.84494271231762</c:v>
                </c:pt>
                <c:pt idx="2">
                  <c:v>658.22482599071009</c:v>
                </c:pt>
                <c:pt idx="3">
                  <c:v>1123.3426992152276</c:v>
                </c:pt>
                <c:pt idx="4">
                  <c:v>1698.4349628844636</c:v>
                </c:pt>
                <c:pt idx="5">
                  <c:v>2719.6000713870526</c:v>
                </c:pt>
                <c:pt idx="6">
                  <c:v>5050.9078321204297</c:v>
                </c:pt>
                <c:pt idx="7">
                  <c:v>8559.0402301463437</c:v>
                </c:pt>
                <c:pt idx="8">
                  <c:v>12988.012324953252</c:v>
                </c:pt>
                <c:pt idx="9">
                  <c:v>15974.716493222872</c:v>
                </c:pt>
                <c:pt idx="10">
                  <c:v>18262.360611048694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475B-4766-A2AB-B814B9A08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46344"/>
        <c:axId val="267846736"/>
      </c:scatterChart>
      <c:valAx>
        <c:axId val="267846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Speed (knots)</a:t>
                </a:r>
              </a:p>
            </c:rich>
          </c:tx>
          <c:layout>
            <c:manualLayout>
              <c:xMode val="edge"/>
              <c:yMode val="edge"/>
              <c:x val="0.3737868210708078"/>
              <c:y val="0.907544600403210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7846736"/>
        <c:crosses val="autoZero"/>
        <c:crossBetween val="midCat"/>
      </c:valAx>
      <c:valAx>
        <c:axId val="2678467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Drag (N)</a:t>
                </a:r>
              </a:p>
            </c:rich>
          </c:tx>
          <c:layout>
            <c:manualLayout>
              <c:xMode val="edge"/>
              <c:yMode val="edge"/>
              <c:x val="2.5889882857270494E-2"/>
              <c:y val="0.3819961200502116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78463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406486760043603"/>
          <c:y val="0.64263410551941991"/>
          <c:w val="0.33459396970463889"/>
          <c:h val="0.300940773707635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100 Degrees 
Keel SideForce Vs Boat Speed At Various Heel Angles</a:t>
            </a:r>
          </a:p>
        </c:rich>
      </c:tx>
      <c:layout>
        <c:manualLayout>
          <c:xMode val="edge"/>
          <c:yMode val="edge"/>
          <c:x val="0.23061630218687904"/>
          <c:y val="2.82131690060481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723658051689898"/>
          <c:y val="0.22570567463275532"/>
          <c:w val="0.56660039761431547"/>
          <c:h val="0.61755580420351308"/>
        </c:manualLayout>
      </c:layout>
      <c:scatterChart>
        <c:scatterStyle val="smoothMarker"/>
        <c:varyColors val="0"/>
        <c:ser>
          <c:idx val="0"/>
          <c:order val="0"/>
          <c:tx>
            <c:v>SF @ 00 Degs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Predictor'!$B$173:$B$179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Predictor'!$Y$173:$Y$179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95C-4185-B130-7253EA8A8D6E}"/>
            </c:ext>
          </c:extLst>
        </c:ser>
        <c:ser>
          <c:idx val="1"/>
          <c:order val="1"/>
          <c:tx>
            <c:v>SF @ 10 Degs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Predictor'!$B$188:$B$194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Predictor'!$Y$188:$Y$194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95C-4185-B130-7253EA8A8D6E}"/>
            </c:ext>
          </c:extLst>
        </c:ser>
        <c:ser>
          <c:idx val="2"/>
          <c:order val="2"/>
          <c:tx>
            <c:v>SF @ 20 Degs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Predictor'!$B$203:$B$209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Predictor'!$Y$203:$Y$209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95C-4185-B130-7253EA8A8D6E}"/>
            </c:ext>
          </c:extLst>
        </c:ser>
        <c:ser>
          <c:idx val="3"/>
          <c:order val="3"/>
          <c:tx>
            <c:v>SF @ 30 Degs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'Speed &amp; Leeway Predictor'!$B$218:$B$224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Predictor'!$Y$218:$Y$224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95C-4185-B130-7253EA8A8D6E}"/>
            </c:ext>
          </c:extLst>
        </c:ser>
        <c:ser>
          <c:idx val="4"/>
          <c:order val="4"/>
          <c:tx>
            <c:v>Generated Sail Sideforce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'Speed &amp; Leeway Predictor'!$C$341:$D$341</c:f>
            </c:numRef>
          </c:xVal>
          <c:yVal>
            <c:numRef>
              <c:f>'Speed &amp; Leeway Predictor'!$C$342:$D$342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195C-4185-B130-7253EA8A8D6E}"/>
            </c:ext>
          </c:extLst>
        </c:ser>
        <c:ser>
          <c:idx val="5"/>
          <c:order val="5"/>
          <c:tx>
            <c:v>Boat Speed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Predictor'!$C$343:$D$343</c:f>
            </c:numRef>
          </c:xVal>
          <c:yVal>
            <c:numRef>
              <c:f>'Speed &amp; Leeway Predictor'!$C$344:$D$344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195C-4185-B130-7253EA8A8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47520"/>
        <c:axId val="267847912"/>
      </c:scatterChart>
      <c:valAx>
        <c:axId val="267847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Boat Speed (Knots)</a:t>
                </a:r>
              </a:p>
            </c:rich>
          </c:tx>
          <c:layout>
            <c:manualLayout>
              <c:xMode val="edge"/>
              <c:yMode val="edge"/>
              <c:x val="0.32405566600397673"/>
              <c:y val="0.9028226254326904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7847912"/>
        <c:crosses val="autoZero"/>
        <c:crossBetween val="midCat"/>
      </c:valAx>
      <c:valAx>
        <c:axId val="267847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Sail or Keel Sideforce (N)</a:t>
                </a:r>
              </a:p>
            </c:rich>
          </c:tx>
          <c:layout>
            <c:manualLayout>
              <c:xMode val="edge"/>
              <c:yMode val="edge"/>
              <c:x val="3.3797216699801194E-2"/>
              <c:y val="0.3542327209098868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78475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558648111331959"/>
          <c:y val="0.27586229982121863"/>
          <c:w val="0.24652087475149145"/>
          <c:h val="0.401254669253300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120 Degrees
Sail Drive Force (= Hull Drag) Vs Boat Speed (KTS) </a:t>
            </a:r>
          </a:p>
        </c:rich>
      </c:tx>
      <c:layout>
        <c:manualLayout>
          <c:xMode val="edge"/>
          <c:yMode val="edge"/>
          <c:x val="0.19433962264150917"/>
          <c:y val="3.437486490659254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11320754717027"/>
          <c:y val="0.21562500000000001"/>
          <c:w val="0.59433962264150964"/>
          <c:h val="0.56562500000000149"/>
        </c:manualLayout>
      </c:layout>
      <c:scatterChart>
        <c:scatterStyle val="smoothMarker"/>
        <c:varyColors val="0"/>
        <c:ser>
          <c:idx val="0"/>
          <c:order val="0"/>
          <c:tx>
            <c:v>Rt @ 10 degs heel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Predictor'!$B$186:$B$196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Predictor'!$AA$186:$AA$196</c:f>
              <c:numCache>
                <c:formatCode>0.00</c:formatCode>
                <c:ptCount val="11"/>
                <c:pt idx="0">
                  <c:v>146.06294324368423</c:v>
                </c:pt>
                <c:pt idx="1">
                  <c:v>351.75084513129627</c:v>
                </c:pt>
                <c:pt idx="2">
                  <c:v>676.89039412970442</c:v>
                </c:pt>
                <c:pt idx="3">
                  <c:v>1168.9129339295691</c:v>
                </c:pt>
                <c:pt idx="4">
                  <c:v>1792.9294015881223</c:v>
                </c:pt>
                <c:pt idx="5">
                  <c:v>2894.6626850656671</c:v>
                </c:pt>
                <c:pt idx="6">
                  <c:v>5349.556922344339</c:v>
                </c:pt>
                <c:pt idx="7">
                  <c:v>9037.4183260836162</c:v>
                </c:pt>
                <c:pt idx="8">
                  <c:v>13717.136080382717</c:v>
                </c:pt>
                <c:pt idx="9">
                  <c:v>17042.226583547152</c:v>
                </c:pt>
                <c:pt idx="10">
                  <c:v>19774.271630307234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653-48D9-B104-FD48C10B362C}"/>
            </c:ext>
          </c:extLst>
        </c:ser>
        <c:ser>
          <c:idx val="1"/>
          <c:order val="1"/>
          <c:tx>
            <c:v>Drive Force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Predictor'!$B$351:$B$352</c:f>
            </c:numRef>
          </c:xVal>
          <c:yVal>
            <c:numRef>
              <c:f>'Speed &amp; Leeway Predictor'!$C$351:$C$352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653-48D9-B104-FD48C10B362C}"/>
            </c:ext>
          </c:extLst>
        </c:ser>
        <c:ser>
          <c:idx val="2"/>
          <c:order val="2"/>
          <c:tx>
            <c:v> Boat Speed TWA 120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Predictor'!$D$351:$D$352</c:f>
            </c:numRef>
          </c:xVal>
          <c:yVal>
            <c:numRef>
              <c:f>'Speed &amp; Leeway Predictor'!$E$351:$E$352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653-48D9-B104-FD48C10B362C}"/>
            </c:ext>
          </c:extLst>
        </c:ser>
        <c:ser>
          <c:idx val="3"/>
          <c:order val="3"/>
          <c:tx>
            <c:v>Rt @ 20 degs heel</c:v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'Speed &amp; Leeway Predictor'!$B$201:$B$211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Predictor'!$AA$201:$AA$211</c:f>
              <c:numCache>
                <c:formatCode>0.00</c:formatCode>
                <c:ptCount val="11"/>
                <c:pt idx="0">
                  <c:v>147.22954125237138</c:v>
                </c:pt>
                <c:pt idx="1">
                  <c:v>357.65674755027493</c:v>
                </c:pt>
                <c:pt idx="2">
                  <c:v>695.55596226869875</c:v>
                </c:pt>
                <c:pt idx="3">
                  <c:v>1214.4831686439109</c:v>
                </c:pt>
                <c:pt idx="4">
                  <c:v>1887.4238402917808</c:v>
                </c:pt>
                <c:pt idx="5">
                  <c:v>3069.7252987442816</c:v>
                </c:pt>
                <c:pt idx="6">
                  <c:v>5648.2060125682474</c:v>
                </c:pt>
                <c:pt idx="7">
                  <c:v>9515.7964220208887</c:v>
                </c:pt>
                <c:pt idx="8">
                  <c:v>14446.259835812181</c:v>
                </c:pt>
                <c:pt idx="9">
                  <c:v>18109.73667387143</c:v>
                </c:pt>
                <c:pt idx="10">
                  <c:v>21286.18264956577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653-48D9-B104-FD48C10B362C}"/>
            </c:ext>
          </c:extLst>
        </c:ser>
        <c:ser>
          <c:idx val="4"/>
          <c:order val="4"/>
          <c:tx>
            <c:v>Rt @ 30 degs heel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'Speed &amp; Leeway Predictor'!$B$216:$B$226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Predictor'!$AA$216:$AA$226</c:f>
              <c:numCache>
                <c:formatCode>0.00</c:formatCode>
                <c:ptCount val="11"/>
                <c:pt idx="0">
                  <c:v>148.39613926105852</c:v>
                </c:pt>
                <c:pt idx="1">
                  <c:v>363.56264996925358</c:v>
                </c:pt>
                <c:pt idx="2">
                  <c:v>714.22153040769297</c:v>
                </c:pt>
                <c:pt idx="3">
                  <c:v>1260.0534033582524</c:v>
                </c:pt>
                <c:pt idx="4">
                  <c:v>1981.9182789954396</c:v>
                </c:pt>
                <c:pt idx="5">
                  <c:v>3244.7879124228957</c:v>
                </c:pt>
                <c:pt idx="6">
                  <c:v>5946.8551027921567</c:v>
                </c:pt>
                <c:pt idx="7">
                  <c:v>9994.1745179581594</c:v>
                </c:pt>
                <c:pt idx="8">
                  <c:v>15175.383591241647</c:v>
                </c:pt>
                <c:pt idx="9">
                  <c:v>19177.246764195712</c:v>
                </c:pt>
                <c:pt idx="10">
                  <c:v>22798.093668824309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E653-48D9-B104-FD48C10B362C}"/>
            </c:ext>
          </c:extLst>
        </c:ser>
        <c:ser>
          <c:idx val="5"/>
          <c:order val="5"/>
          <c:tx>
            <c:v>No heel Angle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Predictor'!$B$171:$B$181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Predictor'!$AA$171:$AA$181</c:f>
              <c:numCache>
                <c:formatCode>0.00</c:formatCode>
                <c:ptCount val="11"/>
                <c:pt idx="0">
                  <c:v>144.89634523499709</c:v>
                </c:pt>
                <c:pt idx="1">
                  <c:v>345.84494271231762</c:v>
                </c:pt>
                <c:pt idx="2">
                  <c:v>658.22482599071009</c:v>
                </c:pt>
                <c:pt idx="3">
                  <c:v>1123.3426992152276</c:v>
                </c:pt>
                <c:pt idx="4">
                  <c:v>1698.4349628844636</c:v>
                </c:pt>
                <c:pt idx="5">
                  <c:v>2719.6000713870526</c:v>
                </c:pt>
                <c:pt idx="6">
                  <c:v>5050.9078321204297</c:v>
                </c:pt>
                <c:pt idx="7">
                  <c:v>8559.0402301463437</c:v>
                </c:pt>
                <c:pt idx="8">
                  <c:v>12988.012324953252</c:v>
                </c:pt>
                <c:pt idx="9">
                  <c:v>15974.716493222872</c:v>
                </c:pt>
                <c:pt idx="10">
                  <c:v>18262.360611048694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E653-48D9-B104-FD48C10B3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48696"/>
        <c:axId val="267849088"/>
      </c:scatterChart>
      <c:valAx>
        <c:axId val="267848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Speed (knots)</a:t>
                </a:r>
              </a:p>
            </c:rich>
          </c:tx>
          <c:layout>
            <c:manualLayout>
              <c:xMode val="edge"/>
              <c:yMode val="edge"/>
              <c:x val="0.37378695587579924"/>
              <c:y val="0.9075445422263392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7849088"/>
        <c:crosses val="autoZero"/>
        <c:crossBetween val="midCat"/>
      </c:valAx>
      <c:valAx>
        <c:axId val="267849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Drag (N)</a:t>
                </a:r>
              </a:p>
            </c:rich>
          </c:tx>
          <c:layout>
            <c:manualLayout>
              <c:xMode val="edge"/>
              <c:yMode val="edge"/>
              <c:x val="2.588996186797415E-2"/>
              <c:y val="0.3819959857958942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78486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471698113207544"/>
          <c:y val="0.64374988420565205"/>
          <c:w val="0.3339622641509451"/>
          <c:h val="0.300000000000000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120 Degrees 
Keel SideForce Vs Boat Speed At Various Heel Angles</a:t>
            </a:r>
          </a:p>
        </c:rich>
      </c:tx>
      <c:layout>
        <c:manualLayout>
          <c:xMode val="edge"/>
          <c:yMode val="edge"/>
          <c:x val="0.23015914677331997"/>
          <c:y val="2.81250578971746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88915800385587"/>
          <c:y val="0.22187499999999988"/>
          <c:w val="0.55158837035817065"/>
          <c:h val="0.62187500000000173"/>
        </c:manualLayout>
      </c:layout>
      <c:scatterChart>
        <c:scatterStyle val="smoothMarker"/>
        <c:varyColors val="0"/>
        <c:ser>
          <c:idx val="0"/>
          <c:order val="0"/>
          <c:tx>
            <c:v>SF @ 00 Degs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Predictor'!$B$173:$B$179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Predictor'!$AB$173:$AB$179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183-43A0-89FE-497761F5C0FA}"/>
            </c:ext>
          </c:extLst>
        </c:ser>
        <c:ser>
          <c:idx val="1"/>
          <c:order val="1"/>
          <c:tx>
            <c:v>SF @ 10 Degs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Predictor'!$B$188:$B$194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Predictor'!$AB$188:$AB$194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183-43A0-89FE-497761F5C0FA}"/>
            </c:ext>
          </c:extLst>
        </c:ser>
        <c:ser>
          <c:idx val="2"/>
          <c:order val="2"/>
          <c:tx>
            <c:v>SF @ 20 Degs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Predictor'!$B$203:$B$209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Predictor'!$AB$203:$AB$209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183-43A0-89FE-497761F5C0FA}"/>
            </c:ext>
          </c:extLst>
        </c:ser>
        <c:ser>
          <c:idx val="3"/>
          <c:order val="3"/>
          <c:tx>
            <c:v>SF @ 30 Degs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'Speed &amp; Leeway Predictor'!$B$218:$B$224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Predictor'!$AB$218:$AB$224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183-43A0-89FE-497761F5C0FA}"/>
            </c:ext>
          </c:extLst>
        </c:ser>
        <c:ser>
          <c:idx val="4"/>
          <c:order val="4"/>
          <c:tx>
            <c:v>Generated Sail Sideforce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'Speed &amp; Leeway Predictor'!$C$357:$D$357</c:f>
            </c:numRef>
          </c:xVal>
          <c:yVal>
            <c:numRef>
              <c:f>'Speed &amp; Leeway Predictor'!$C$358:$D$358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3183-43A0-89FE-497761F5C0FA}"/>
            </c:ext>
          </c:extLst>
        </c:ser>
        <c:ser>
          <c:idx val="5"/>
          <c:order val="5"/>
          <c:tx>
            <c:v>Boat Speed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Predictor'!$C$359:$D$359</c:f>
            </c:numRef>
          </c:xVal>
          <c:yVal>
            <c:numRef>
              <c:f>'Speed &amp; Leeway Predictor'!$C$360:$D$360</c:f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183-43A0-89FE-497761F5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40592"/>
        <c:axId val="342340984"/>
      </c:scatterChart>
      <c:valAx>
        <c:axId val="34234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Boat Speed (Knots)</a:t>
                </a:r>
              </a:p>
            </c:rich>
          </c:tx>
          <c:layout>
            <c:manualLayout>
              <c:xMode val="edge"/>
              <c:yMode val="edge"/>
              <c:x val="0.32936570428696516"/>
              <c:y val="0.9031249035047096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340984"/>
        <c:crosses val="autoZero"/>
        <c:crossBetween val="midCat"/>
      </c:valAx>
      <c:valAx>
        <c:axId val="342340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Sail or Keel Sideforce (N)</a:t>
                </a:r>
              </a:p>
            </c:rich>
          </c:tx>
          <c:layout>
            <c:manualLayout>
              <c:xMode val="edge"/>
              <c:yMode val="edge"/>
              <c:x val="3.3730158730158728E-2"/>
              <c:y val="0.3531249035047099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340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61125692621755"/>
          <c:y val="0.27500015439246622"/>
          <c:w val="0.24603216264633626"/>
          <c:h val="0.4000000000000000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3157740251475"/>
          <c:y val="5.7045713196832833E-2"/>
          <c:w val="0.5908633742361501"/>
          <c:h val="0.70528336954943027"/>
        </c:manualLayout>
      </c:layout>
      <c:scatterChart>
        <c:scatterStyle val="smoothMarker"/>
        <c:varyColors val="0"/>
        <c:ser>
          <c:idx val="0"/>
          <c:order val="0"/>
          <c:trendline>
            <c:trendlineType val="linear"/>
            <c:dispRSqr val="0"/>
            <c:dispEq val="0"/>
          </c:trendline>
          <c:xVal>
            <c:numRef>
              <c:f>'RESULTS PAGE'!$C$18:$C$33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</c:numCache>
            </c:numRef>
          </c:xVal>
          <c:yVal>
            <c:numRef>
              <c:f>'RESULTS PAGE'!$D$18:$D$33</c:f>
              <c:numCache>
                <c:formatCode>0.0</c:formatCode>
                <c:ptCount val="16"/>
                <c:pt idx="0">
                  <c:v>0</c:v>
                </c:pt>
                <c:pt idx="1">
                  <c:v>12.72419582109679</c:v>
                </c:pt>
                <c:pt idx="2">
                  <c:v>25.386400639184888</c:v>
                </c:pt>
                <c:pt idx="3">
                  <c:v>37.924925465190938</c:v>
                </c:pt>
                <c:pt idx="4">
                  <c:v>50.27868386653077</c:v>
                </c:pt>
                <c:pt idx="5">
                  <c:v>62.387489574068482</c:v>
                </c:pt>
                <c:pt idx="6">
                  <c:v>74.19234970356986</c:v>
                </c:pt>
                <c:pt idx="7">
                  <c:v>85.635752163104357</c:v>
                </c:pt>
                <c:pt idx="8">
                  <c:v>96.661945846175925</c:v>
                </c:pt>
                <c:pt idx="9">
                  <c:v>107.21721224550971</c:v>
                </c:pt>
                <c:pt idx="10">
                  <c:v>117.25012716421989</c:v>
                </c:pt>
                <c:pt idx="11">
                  <c:v>126.71181124932757</c:v>
                </c:pt>
                <c:pt idx="12">
                  <c:v>135.5561681270552</c:v>
                </c:pt>
                <c:pt idx="13">
                  <c:v>143.74010897972624</c:v>
                </c:pt>
                <c:pt idx="14">
                  <c:v>151.2237624701533</c:v>
                </c:pt>
                <c:pt idx="15">
                  <c:v>157.97066899078513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C84-4376-81A5-507571C15329}"/>
            </c:ext>
          </c:extLst>
        </c:ser>
        <c:ser>
          <c:idx val="1"/>
          <c:order val="1"/>
          <c:tx>
            <c:v>AAA</c:v>
          </c:tx>
          <c:xVal>
            <c:numRef>
              <c:f>'RESULTS PAGE'!$C$43:$C$44</c:f>
              <c:numCache>
                <c:formatCode>General</c:formatCode>
                <c:ptCount val="2"/>
                <c:pt idx="0">
                  <c:v>0</c:v>
                </c:pt>
                <c:pt idx="1">
                  <c:v>30</c:v>
                </c:pt>
              </c:numCache>
            </c:numRef>
          </c:xVal>
          <c:yVal>
            <c:numRef>
              <c:f>'RESULTS PAGE'!$D$43:$D$44</c:f>
              <c:numCache>
                <c:formatCode>0.00</c:formatCode>
                <c:ptCount val="2"/>
                <c:pt idx="0">
                  <c:v>126.48095227040918</c:v>
                </c:pt>
                <c:pt idx="1">
                  <c:v>126.48095227040918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C84-4376-81A5-507571C15329}"/>
            </c:ext>
          </c:extLst>
        </c:ser>
        <c:ser>
          <c:idx val="2"/>
          <c:order val="2"/>
          <c:tx>
            <c:v>BBB</c:v>
          </c:tx>
          <c:xVal>
            <c:numRef>
              <c:f>'RESULTS PAGE'!$C$46:$C$47</c:f>
              <c:numCache>
                <c:formatCode>0.00</c:formatCode>
                <c:ptCount val="2"/>
                <c:pt idx="0">
                  <c:v>21.883180196914505</c:v>
                </c:pt>
                <c:pt idx="1">
                  <c:v>21.883180196914505</c:v>
                </c:pt>
              </c:numCache>
            </c:numRef>
          </c:xVal>
          <c:yVal>
            <c:numRef>
              <c:f>'RESULTS PAGE'!$D$46:$D$47</c:f>
              <c:numCache>
                <c:formatCode>0.0</c:formatCode>
                <c:ptCount val="2"/>
                <c:pt idx="0">
                  <c:v>0</c:v>
                </c:pt>
                <c:pt idx="1">
                  <c:v>157.97066899078513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C84-4376-81A5-507571C15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477888"/>
        <c:axId val="342478280"/>
      </c:scatterChart>
      <c:valAx>
        <c:axId val="34247788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Heel</a:t>
                </a:r>
                <a:r>
                  <a:rPr lang="en-GB" baseline="0"/>
                  <a:t> Angle (Degs)</a:t>
                </a:r>
                <a:endParaRPr lang="en-GB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2478280"/>
        <c:crosses val="autoZero"/>
        <c:crossBetween val="midCat"/>
      </c:valAx>
      <c:valAx>
        <c:axId val="342478280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 WHM kNm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1279126567512394"/>
            </c:manualLayout>
          </c:layout>
          <c:overlay val="0"/>
        </c:title>
        <c:numFmt formatCode="0.0" sourceLinked="1"/>
        <c:majorTickMark val="out"/>
        <c:minorTickMark val="none"/>
        <c:tickLblPos val="nextTo"/>
        <c:crossAx val="342477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67557638033228"/>
          <c:y val="0.30946455872934703"/>
          <c:w val="0.16065464761042791"/>
          <c:h val="0.365656216660591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45 Degrees
Sail Drive Force (= Hull Drag) Vs Boat Speed (KTS) </a:t>
            </a:r>
          </a:p>
        </c:rich>
      </c:tx>
      <c:layout>
        <c:manualLayout>
          <c:xMode val="edge"/>
          <c:yMode val="edge"/>
          <c:x val="0.16693420079246848"/>
          <c:y val="1.42817741002713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152109961782239"/>
          <c:y val="0.21362229102167191"/>
          <c:w val="0.59125530170889318"/>
          <c:h val="0.56965944272445945"/>
        </c:manualLayout>
      </c:layout>
      <c:scatterChart>
        <c:scatterStyle val="smoothMarker"/>
        <c:varyColors val="0"/>
        <c:ser>
          <c:idx val="0"/>
          <c:order val="0"/>
          <c:tx>
            <c:v>Rt @ 10 degs heel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Predictor'!$B$186:$B$196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Predictor'!$L$186:$L$196</c:f>
              <c:numCache>
                <c:formatCode>0.00</c:formatCode>
                <c:ptCount val="11"/>
                <c:pt idx="0">
                  <c:v>275.33261367899343</c:v>
                </c:pt>
                <c:pt idx="1">
                  <c:v>642.60760361074199</c:v>
                </c:pt>
                <c:pt idx="2">
                  <c:v>1193.9690758709412</c:v>
                </c:pt>
                <c:pt idx="3">
                  <c:v>1976.8483741502519</c:v>
                </c:pt>
                <c:pt idx="4">
                  <c:v>2956.3564355059052</c:v>
                </c:pt>
                <c:pt idx="5">
                  <c:v>4478.2161478982043</c:v>
                </c:pt>
                <c:pt idx="6">
                  <c:v>7417.8716493092861</c:v>
                </c:pt>
                <c:pt idx="7">
                  <c:v>11655.129152398627</c:v>
                </c:pt>
                <c:pt idx="8">
                  <c:v>16948.877841265446</c:v>
                </c:pt>
                <c:pt idx="9">
                  <c:v>20952.634114215256</c:v>
                </c:pt>
                <c:pt idx="10">
                  <c:v>24427.979765978365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205-4E8B-9F27-3BAE5F90E4AF}"/>
            </c:ext>
          </c:extLst>
        </c:ser>
        <c:ser>
          <c:idx val="1"/>
          <c:order val="1"/>
          <c:tx>
            <c:v>Drive Force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Predictor'!$B$269:$B$270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14.030747346933692</c:v>
                </c:pt>
              </c:numCache>
            </c:numRef>
          </c:xVal>
          <c:yVal>
            <c:numRef>
              <c:f>'Speed &amp; Leeway Predictor'!$C$269:$C$270</c:f>
              <c:numCache>
                <c:formatCode>0.00</c:formatCode>
                <c:ptCount val="2"/>
                <c:pt idx="0">
                  <c:v>3914.8296350676733</c:v>
                </c:pt>
                <c:pt idx="1">
                  <c:v>3914.8296350676733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205-4E8B-9F27-3BAE5F90E4AF}"/>
            </c:ext>
          </c:extLst>
        </c:ser>
        <c:ser>
          <c:idx val="2"/>
          <c:order val="2"/>
          <c:tx>
            <c:v> Boat Speed TWA 45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Predictor'!$D$269:$D$270</c:f>
              <c:numCache>
                <c:formatCode>0.00</c:formatCode>
                <c:ptCount val="2"/>
                <c:pt idx="0">
                  <c:v>7.9507568299290927</c:v>
                </c:pt>
                <c:pt idx="1">
                  <c:v>7.9507568299290927</c:v>
                </c:pt>
              </c:numCache>
            </c:numRef>
          </c:xVal>
          <c:yVal>
            <c:numRef>
              <c:f>'Speed &amp; Leeway Predictor'!$E$269:$E$270</c:f>
              <c:numCache>
                <c:formatCode>General</c:formatCode>
                <c:ptCount val="2"/>
                <c:pt idx="0" formatCode="0">
                  <c:v>7829.6592701353466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205-4E8B-9F27-3BAE5F90E4AF}"/>
            </c:ext>
          </c:extLst>
        </c:ser>
        <c:ser>
          <c:idx val="3"/>
          <c:order val="3"/>
          <c:tx>
            <c:v>Rt @ 20 degs heel</c:v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'Speed &amp; Leeway Predictor'!$B$201:$B$211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Predictor'!$L$201:$L$211</c:f>
              <c:numCache>
                <c:formatCode>0.00</c:formatCode>
                <c:ptCount val="11"/>
                <c:pt idx="0">
                  <c:v>238.40942271382917</c:v>
                </c:pt>
                <c:pt idx="1">
                  <c:v>562.81148083855498</c:v>
                </c:pt>
                <c:pt idx="2">
                  <c:v>1060.2754881145299</c:v>
                </c:pt>
                <c:pt idx="3">
                  <c:v>1784.3574277780222</c:v>
                </c:pt>
                <c:pt idx="4">
                  <c:v>2708.0427734449013</c:v>
                </c:pt>
                <c:pt idx="5">
                  <c:v>4186.6788466471389</c:v>
                </c:pt>
                <c:pt idx="6">
                  <c:v>7107.0841159515721</c:v>
                </c:pt>
                <c:pt idx="7">
                  <c:v>11362.18902161541</c:v>
                </c:pt>
                <c:pt idx="8">
                  <c:v>16725.756872348626</c:v>
                </c:pt>
                <c:pt idx="9">
                  <c:v>20867.928088080531</c:v>
                </c:pt>
                <c:pt idx="10">
                  <c:v>24568.658382178251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205-4E8B-9F27-3BAE5F90E4AF}"/>
            </c:ext>
          </c:extLst>
        </c:ser>
        <c:ser>
          <c:idx val="4"/>
          <c:order val="4"/>
          <c:tx>
            <c:v>Rt @ 30 degs heel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'Speed &amp; Leeway Predictor'!$B$216:$B$226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Predictor'!$L$216:$L$226</c:f>
              <c:numCache>
                <c:formatCode>0.00</c:formatCode>
                <c:ptCount val="11"/>
                <c:pt idx="0">
                  <c:v>198.62066906457483</c:v>
                </c:pt>
                <c:pt idx="1">
                  <c:v>476.56784202716528</c:v>
                </c:pt>
                <c:pt idx="2">
                  <c:v>915.1196496217583</c:v>
                </c:pt>
                <c:pt idx="3">
                  <c:v>1573.9567146302293</c:v>
                </c:pt>
                <c:pt idx="4">
                  <c:v>2433.9390472270866</c:v>
                </c:pt>
                <c:pt idx="5">
                  <c:v>3860.0384025159706</c:v>
                </c:pt>
                <c:pt idx="6">
                  <c:v>6750.4475796484176</c:v>
                </c:pt>
                <c:pt idx="7">
                  <c:v>11011.221246479365</c:v>
                </c:pt>
                <c:pt idx="8">
                  <c:v>16430.996836329556</c:v>
                </c:pt>
                <c:pt idx="9">
                  <c:v>20696.538790752082</c:v>
                </c:pt>
                <c:pt idx="10">
                  <c:v>24606.176741750896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8205-4E8B-9F27-3BAE5F90E4AF}"/>
            </c:ext>
          </c:extLst>
        </c:ser>
        <c:ser>
          <c:idx val="5"/>
          <c:order val="5"/>
          <c:tx>
            <c:v>No heel Angle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Predictor'!$B$171:$B$181</c:f>
              <c:numCache>
                <c:formatCode>0.00</c:formatCode>
                <c:ptCount val="11"/>
                <c:pt idx="0">
                  <c:v>2.3384578911556155</c:v>
                </c:pt>
                <c:pt idx="1">
                  <c:v>3.5076868367334231</c:v>
                </c:pt>
                <c:pt idx="2">
                  <c:v>4.6769157823112311</c:v>
                </c:pt>
                <c:pt idx="3">
                  <c:v>5.8461447278890386</c:v>
                </c:pt>
                <c:pt idx="4">
                  <c:v>7.0153736734668461</c:v>
                </c:pt>
                <c:pt idx="5">
                  <c:v>8.1846026190446537</c:v>
                </c:pt>
                <c:pt idx="6">
                  <c:v>9.3538315646224621</c:v>
                </c:pt>
                <c:pt idx="7">
                  <c:v>10.523060510200271</c:v>
                </c:pt>
                <c:pt idx="8">
                  <c:v>11.692289455778077</c:v>
                </c:pt>
                <c:pt idx="9">
                  <c:v>12.861518401355886</c:v>
                </c:pt>
                <c:pt idx="10">
                  <c:v>14.030747346933692</c:v>
                </c:pt>
              </c:numCache>
            </c:numRef>
          </c:xVal>
          <c:yVal>
            <c:numRef>
              <c:f>'Speed &amp; Leeway Predictor'!$L$171:$L$181</c:f>
              <c:numCache>
                <c:formatCode>0.00</c:formatCode>
                <c:ptCount val="11"/>
                <c:pt idx="0">
                  <c:v>242.42695594194731</c:v>
                </c:pt>
                <c:pt idx="1">
                  <c:v>565.28881680295558</c:v>
                </c:pt>
                <c:pt idx="2">
                  <c:v>1048.3472688185111</c:v>
                </c:pt>
                <c:pt idx="3">
                  <c:v>1732.9090161336667</c:v>
                </c:pt>
                <c:pt idx="4">
                  <c:v>2576.2104592470155</c:v>
                </c:pt>
                <c:pt idx="5">
                  <c:v>3914.3500525471927</c:v>
                </c:pt>
                <c:pt idx="6">
                  <c:v>6611.3976034316329</c:v>
                </c:pt>
                <c:pt idx="7">
                  <c:v>10534.035096962087</c:v>
                </c:pt>
                <c:pt idx="8">
                  <c:v>15426.277592627008</c:v>
                </c:pt>
                <c:pt idx="9">
                  <c:v>18925.017467108115</c:v>
                </c:pt>
                <c:pt idx="10">
                  <c:v>21773.462596498903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8205-4E8B-9F27-3BAE5F90E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479064"/>
        <c:axId val="342479456"/>
      </c:scatterChart>
      <c:valAx>
        <c:axId val="342479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Speed (knots)</a:t>
                </a:r>
              </a:p>
            </c:rich>
          </c:tx>
          <c:layout>
            <c:manualLayout>
              <c:xMode val="edge"/>
              <c:yMode val="edge"/>
              <c:x val="0.37378701236490003"/>
              <c:y val="0.907544465251299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479456"/>
        <c:crosses val="autoZero"/>
        <c:crossBetween val="midCat"/>
      </c:valAx>
      <c:valAx>
        <c:axId val="342479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Drag (N)</a:t>
                </a:r>
              </a:p>
            </c:rich>
          </c:tx>
          <c:layout>
            <c:manualLayout>
              <c:xMode val="edge"/>
              <c:yMode val="edge"/>
              <c:x val="3.1038012140374344E-2"/>
              <c:y val="0.3819959962631789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4790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1406903984910743"/>
          <c:y val="0.47987606133760691"/>
          <c:w val="0.33650230033033013"/>
          <c:h val="0.2972136362610832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= 45 Degrees 
Keel SideForce Vs Boat Speed At Various Heel Angles</a:t>
            </a:r>
          </a:p>
        </c:rich>
      </c:tx>
      <c:layout>
        <c:manualLayout>
          <c:xMode val="edge"/>
          <c:yMode val="edge"/>
          <c:x val="0.19467213114754098"/>
          <c:y val="3.43750094821963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68852459016394"/>
          <c:y val="0.21875000000000031"/>
          <c:w val="0.52663934426229508"/>
          <c:h val="0.62500000000000122"/>
        </c:manualLayout>
      </c:layout>
      <c:scatterChart>
        <c:scatterStyle val="smoothMarker"/>
        <c:varyColors val="0"/>
        <c:ser>
          <c:idx val="0"/>
          <c:order val="0"/>
          <c:tx>
            <c:v>SF @ 00 Degs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'Speed &amp; Leeway Predictor'!$B$173:$B$179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Predictor'!$M$173:$M$179</c:f>
              <c:numCache>
                <c:formatCode>0.00</c:formatCode>
                <c:ptCount val="7"/>
                <c:pt idx="0">
                  <c:v>5610.9325987719012</c:v>
                </c:pt>
                <c:pt idx="1">
                  <c:v>8767.0821855810955</c:v>
                </c:pt>
                <c:pt idx="2">
                  <c:v>12624.598347236773</c:v>
                </c:pt>
                <c:pt idx="3">
                  <c:v>17183.481083738945</c:v>
                </c:pt>
                <c:pt idx="4">
                  <c:v>22443.730395087605</c:v>
                </c:pt>
                <c:pt idx="5">
                  <c:v>28405.346281282757</c:v>
                </c:pt>
                <c:pt idx="6">
                  <c:v>35068.328742324382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BDE-46B2-81EB-4ED4E385ECB8}"/>
            </c:ext>
          </c:extLst>
        </c:ser>
        <c:ser>
          <c:idx val="1"/>
          <c:order val="1"/>
          <c:tx>
            <c:v>SF @ 10 Degs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'Speed &amp; Leeway Predictor'!$B$188:$B$194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Predictor'!$M$188:$M$194</c:f>
              <c:numCache>
                <c:formatCode>0.00</c:formatCode>
                <c:ptCount val="7"/>
                <c:pt idx="0">
                  <c:v>5093.5060393309359</c:v>
                </c:pt>
                <c:pt idx="1">
                  <c:v>7958.6031864545876</c:v>
                </c:pt>
                <c:pt idx="2">
                  <c:v>11460.388588494605</c:v>
                </c:pt>
                <c:pt idx="3">
                  <c:v>15598.862245450988</c:v>
                </c:pt>
                <c:pt idx="4">
                  <c:v>20374.024157323744</c:v>
                </c:pt>
                <c:pt idx="5">
                  <c:v>25785.874324112865</c:v>
                </c:pt>
                <c:pt idx="6">
                  <c:v>31834.41274581835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BDE-46B2-81EB-4ED4E385ECB8}"/>
            </c:ext>
          </c:extLst>
        </c:ser>
        <c:ser>
          <c:idx val="2"/>
          <c:order val="2"/>
          <c:tx>
            <c:v>SF @ 20 Degs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'Speed &amp; Leeway Predictor'!$B$203:$B$209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Predictor'!$M$203:$M$209</c:f>
              <c:numCache>
                <c:formatCode>0.00</c:formatCode>
                <c:ptCount val="7"/>
                <c:pt idx="0">
                  <c:v>4099.1629352723485</c:v>
                </c:pt>
                <c:pt idx="1">
                  <c:v>6404.9420863630439</c:v>
                </c:pt>
                <c:pt idx="2">
                  <c:v>9223.1166043627836</c:v>
                </c:pt>
                <c:pt idx="3">
                  <c:v>12553.686489271564</c:v>
                </c:pt>
                <c:pt idx="4">
                  <c:v>16396.651741089394</c:v>
                </c:pt>
                <c:pt idx="5">
                  <c:v>20752.012359816265</c:v>
                </c:pt>
                <c:pt idx="6">
                  <c:v>25619.768345452176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BDE-46B2-81EB-4ED4E385ECB8}"/>
            </c:ext>
          </c:extLst>
        </c:ser>
        <c:ser>
          <c:idx val="3"/>
          <c:order val="3"/>
          <c:tx>
            <c:v>SF @ 30 Degs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'Speed &amp; Leeway Predictor'!$B$218:$B$224</c:f>
              <c:numCache>
                <c:formatCode>0.00</c:formatCode>
                <c:ptCount val="7"/>
                <c:pt idx="0">
                  <c:v>4.6769157823112311</c:v>
                </c:pt>
                <c:pt idx="1">
                  <c:v>5.8461447278890386</c:v>
                </c:pt>
                <c:pt idx="2">
                  <c:v>7.0153736734668461</c:v>
                </c:pt>
                <c:pt idx="3">
                  <c:v>8.1846026190446537</c:v>
                </c:pt>
                <c:pt idx="4">
                  <c:v>9.3538315646224621</c:v>
                </c:pt>
                <c:pt idx="5">
                  <c:v>10.523060510200271</c:v>
                </c:pt>
                <c:pt idx="6">
                  <c:v>11.692289455778077</c:v>
                </c:pt>
              </c:numCache>
            </c:numRef>
          </c:xVal>
          <c:yVal>
            <c:numRef>
              <c:f>'Speed &amp; Leeway Predictor'!$M$218:$M$224</c:f>
              <c:numCache>
                <c:formatCode>0.00</c:formatCode>
                <c:ptCount val="7"/>
                <c:pt idx="0">
                  <c:v>2731.6586782629233</c:v>
                </c:pt>
                <c:pt idx="1">
                  <c:v>4268.2166847858171</c:v>
                </c:pt>
                <c:pt idx="2">
                  <c:v>6146.2320260915767</c:v>
                </c:pt>
                <c:pt idx="3">
                  <c:v>8365.7047021802009</c:v>
                </c:pt>
                <c:pt idx="4">
                  <c:v>10926.634713051693</c:v>
                </c:pt>
                <c:pt idx="5">
                  <c:v>13829.022058706054</c:v>
                </c:pt>
                <c:pt idx="6">
                  <c:v>17072.866739143268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BDE-46B2-81EB-4ED4E385ECB8}"/>
            </c:ext>
          </c:extLst>
        </c:ser>
        <c:ser>
          <c:idx val="4"/>
          <c:order val="4"/>
          <c:tx>
            <c:v>Generated Sail Sideforce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'Speed &amp; Leeway Predictor'!$C$275:$D$275</c:f>
              <c:numCache>
                <c:formatCode>0.00</c:formatCode>
                <c:ptCount val="2"/>
                <c:pt idx="0">
                  <c:v>3.6769157823112311</c:v>
                </c:pt>
                <c:pt idx="1">
                  <c:v>12.692289455778077</c:v>
                </c:pt>
              </c:numCache>
            </c:numRef>
          </c:xVal>
          <c:yVal>
            <c:numRef>
              <c:f>'Speed &amp; Leeway Predictor'!$C$276:$D$276</c:f>
              <c:numCache>
                <c:formatCode>0.00</c:formatCode>
                <c:ptCount val="2"/>
                <c:pt idx="0">
                  <c:v>11093.070155121432</c:v>
                </c:pt>
                <c:pt idx="1">
                  <c:v>11093.070155121432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9BDE-46B2-81EB-4ED4E385ECB8}"/>
            </c:ext>
          </c:extLst>
        </c:ser>
        <c:ser>
          <c:idx val="5"/>
          <c:order val="5"/>
          <c:tx>
            <c:v>Boat Speed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'Speed &amp; Leeway Predictor'!$C$277:$D$277</c:f>
              <c:numCache>
                <c:formatCode>0.00</c:formatCode>
                <c:ptCount val="2"/>
                <c:pt idx="0">
                  <c:v>7.9507568299290927</c:v>
                </c:pt>
                <c:pt idx="1">
                  <c:v>7.9507568299290927</c:v>
                </c:pt>
              </c:numCache>
            </c:numRef>
          </c:xVal>
          <c:yVal>
            <c:numRef>
              <c:f>'Speed &amp; Leeway Predictor'!$C$278:$D$278</c:f>
              <c:numCache>
                <c:formatCode>0.00</c:formatCode>
                <c:ptCount val="2"/>
                <c:pt idx="0">
                  <c:v>0</c:v>
                </c:pt>
                <c:pt idx="1">
                  <c:v>35068.328742324382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9BDE-46B2-81EB-4ED4E385E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480240"/>
        <c:axId val="342480632"/>
      </c:scatterChart>
      <c:valAx>
        <c:axId val="342480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Boat Speed (Knots)</a:t>
                </a:r>
              </a:p>
            </c:rich>
          </c:tx>
          <c:layout>
            <c:manualLayout>
              <c:xMode val="edge"/>
              <c:yMode val="edge"/>
              <c:x val="0.32786885245901715"/>
              <c:y val="0.90312502844659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480632"/>
        <c:crosses val="autoZero"/>
        <c:crossBetween val="midCat"/>
      </c:valAx>
      <c:valAx>
        <c:axId val="342480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Sail or Keel Sideforce (N)</a:t>
                </a:r>
              </a:p>
            </c:rich>
          </c:tx>
          <c:layout>
            <c:manualLayout>
              <c:xMode val="edge"/>
              <c:yMode val="edge"/>
              <c:x val="3.4836065573770607E-2"/>
              <c:y val="0.3531248767314499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4802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2950819672131151"/>
          <c:y val="0.27187504741098112"/>
          <c:w val="0.25409836065573765"/>
          <c:h val="0.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441960</xdr:colOff>
          <xdr:row>35</xdr:row>
          <xdr:rowOff>121920</xdr:rowOff>
        </xdr:from>
        <xdr:to>
          <xdr:col>5</xdr:col>
          <xdr:colOff>533400</xdr:colOff>
          <xdr:row>39</xdr:row>
          <xdr:rowOff>30480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xmlns="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39</xdr:row>
      <xdr:rowOff>304800</xdr:rowOff>
    </xdr:from>
    <xdr:to>
      <xdr:col>16</xdr:col>
      <xdr:colOff>0</xdr:colOff>
      <xdr:row>52</xdr:row>
      <xdr:rowOff>142875</xdr:rowOff>
    </xdr:to>
    <xdr:graphicFrame macro="">
      <xdr:nvGraphicFramePr>
        <xdr:cNvPr id="1043" name="Chart 1">
          <a:extLst>
            <a:ext uri="{FF2B5EF4-FFF2-40B4-BE49-F238E27FC236}">
              <a16:creationId xmlns:a16="http://schemas.microsoft.com/office/drawing/2014/main" xmlns="" id="{00000000-0008-0000-0800-00001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1057275</xdr:colOff>
      <xdr:row>230</xdr:row>
      <xdr:rowOff>28575</xdr:rowOff>
    </xdr:from>
    <xdr:to>
      <xdr:col>14</xdr:col>
      <xdr:colOff>66675</xdr:colOff>
      <xdr:row>245</xdr:row>
      <xdr:rowOff>0</xdr:rowOff>
    </xdr:to>
    <xdr:graphicFrame macro="">
      <xdr:nvGraphicFramePr>
        <xdr:cNvPr id="2400" name="Chart 2">
          <a:extLst>
            <a:ext uri="{FF2B5EF4-FFF2-40B4-BE49-F238E27FC236}">
              <a16:creationId xmlns:a16="http://schemas.microsoft.com/office/drawing/2014/main" xmlns="" id="{00000000-0008-0000-0900-000060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161925</xdr:colOff>
      <xdr:row>230</xdr:row>
      <xdr:rowOff>9525</xdr:rowOff>
    </xdr:from>
    <xdr:to>
      <xdr:col>9</xdr:col>
      <xdr:colOff>847725</xdr:colOff>
      <xdr:row>244</xdr:row>
      <xdr:rowOff>114300</xdr:rowOff>
    </xdr:to>
    <xdr:graphicFrame macro="">
      <xdr:nvGraphicFramePr>
        <xdr:cNvPr id="2401" name="Chart 3">
          <a:extLst>
            <a:ext uri="{FF2B5EF4-FFF2-40B4-BE49-F238E27FC236}">
              <a16:creationId xmlns:a16="http://schemas.microsoft.com/office/drawing/2014/main" xmlns="" id="{00000000-0008-0000-0900-000061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248</xdr:row>
      <xdr:rowOff>0</xdr:rowOff>
    </xdr:from>
    <xdr:to>
      <xdr:col>9</xdr:col>
      <xdr:colOff>923925</xdr:colOff>
      <xdr:row>261</xdr:row>
      <xdr:rowOff>0</xdr:rowOff>
    </xdr:to>
    <xdr:graphicFrame macro="">
      <xdr:nvGraphicFramePr>
        <xdr:cNvPr id="2402" name="Chart 26">
          <a:extLst>
            <a:ext uri="{FF2B5EF4-FFF2-40B4-BE49-F238E27FC236}">
              <a16:creationId xmlns:a16="http://schemas.microsoft.com/office/drawing/2014/main" xmlns="" id="{00000000-0008-0000-0900-000062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1057275</xdr:colOff>
      <xdr:row>247</xdr:row>
      <xdr:rowOff>314325</xdr:rowOff>
    </xdr:from>
    <xdr:to>
      <xdr:col>14</xdr:col>
      <xdr:colOff>104775</xdr:colOff>
      <xdr:row>261</xdr:row>
      <xdr:rowOff>28575</xdr:rowOff>
    </xdr:to>
    <xdr:graphicFrame macro="">
      <xdr:nvGraphicFramePr>
        <xdr:cNvPr id="2403" name="Chart 27">
          <a:extLst>
            <a:ext uri="{FF2B5EF4-FFF2-40B4-BE49-F238E27FC236}">
              <a16:creationId xmlns:a16="http://schemas.microsoft.com/office/drawing/2014/main" xmlns="" id="{00000000-0008-0000-0900-000063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265</xdr:row>
      <xdr:rowOff>0</xdr:rowOff>
    </xdr:from>
    <xdr:to>
      <xdr:col>9</xdr:col>
      <xdr:colOff>876300</xdr:colOff>
      <xdr:row>278</xdr:row>
      <xdr:rowOff>28575</xdr:rowOff>
    </xdr:to>
    <xdr:graphicFrame macro="">
      <xdr:nvGraphicFramePr>
        <xdr:cNvPr id="2404" name="Chart 30">
          <a:extLst>
            <a:ext uri="{FF2B5EF4-FFF2-40B4-BE49-F238E27FC236}">
              <a16:creationId xmlns:a16="http://schemas.microsoft.com/office/drawing/2014/main" xmlns="" id="{00000000-0008-0000-0900-000064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1066800</xdr:colOff>
      <xdr:row>264</xdr:row>
      <xdr:rowOff>142875</xdr:rowOff>
    </xdr:from>
    <xdr:to>
      <xdr:col>14</xdr:col>
      <xdr:colOff>152400</xdr:colOff>
      <xdr:row>277</xdr:row>
      <xdr:rowOff>142875</xdr:rowOff>
    </xdr:to>
    <xdr:graphicFrame macro="">
      <xdr:nvGraphicFramePr>
        <xdr:cNvPr id="2405" name="Chart 31">
          <a:extLst>
            <a:ext uri="{FF2B5EF4-FFF2-40B4-BE49-F238E27FC236}">
              <a16:creationId xmlns:a16="http://schemas.microsoft.com/office/drawing/2014/main" xmlns="" id="{00000000-0008-0000-0900-000065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9</xdr:col>
      <xdr:colOff>876300</xdr:colOff>
      <xdr:row>295</xdr:row>
      <xdr:rowOff>9525</xdr:rowOff>
    </xdr:to>
    <xdr:graphicFrame macro="">
      <xdr:nvGraphicFramePr>
        <xdr:cNvPr id="2406" name="Chart 32">
          <a:extLst>
            <a:ext uri="{FF2B5EF4-FFF2-40B4-BE49-F238E27FC236}">
              <a16:creationId xmlns:a16="http://schemas.microsoft.com/office/drawing/2014/main" xmlns="" id="{00000000-0008-0000-0900-000066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1066800</xdr:colOff>
      <xdr:row>281</xdr:row>
      <xdr:rowOff>142875</xdr:rowOff>
    </xdr:from>
    <xdr:to>
      <xdr:col>14</xdr:col>
      <xdr:colOff>152400</xdr:colOff>
      <xdr:row>294</xdr:row>
      <xdr:rowOff>142875</xdr:rowOff>
    </xdr:to>
    <xdr:graphicFrame macro="">
      <xdr:nvGraphicFramePr>
        <xdr:cNvPr id="2407" name="Chart 33">
          <a:extLst>
            <a:ext uri="{FF2B5EF4-FFF2-40B4-BE49-F238E27FC236}">
              <a16:creationId xmlns:a16="http://schemas.microsoft.com/office/drawing/2014/main" xmlns="" id="{00000000-0008-0000-0900-000067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9</xdr:col>
      <xdr:colOff>876300</xdr:colOff>
      <xdr:row>295</xdr:row>
      <xdr:rowOff>9525</xdr:rowOff>
    </xdr:to>
    <xdr:graphicFrame macro="">
      <xdr:nvGraphicFramePr>
        <xdr:cNvPr id="2408" name="Chart 35">
          <a:extLst>
            <a:ext uri="{FF2B5EF4-FFF2-40B4-BE49-F238E27FC236}">
              <a16:creationId xmlns:a16="http://schemas.microsoft.com/office/drawing/2014/main" xmlns="" id="{00000000-0008-0000-0900-000068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1066800</xdr:colOff>
      <xdr:row>281</xdr:row>
      <xdr:rowOff>142875</xdr:rowOff>
    </xdr:from>
    <xdr:to>
      <xdr:col>14</xdr:col>
      <xdr:colOff>152400</xdr:colOff>
      <xdr:row>294</xdr:row>
      <xdr:rowOff>142875</xdr:rowOff>
    </xdr:to>
    <xdr:graphicFrame macro="">
      <xdr:nvGraphicFramePr>
        <xdr:cNvPr id="2409" name="Chart 36">
          <a:extLst>
            <a:ext uri="{FF2B5EF4-FFF2-40B4-BE49-F238E27FC236}">
              <a16:creationId xmlns:a16="http://schemas.microsoft.com/office/drawing/2014/main" xmlns="" id="{00000000-0008-0000-0900-000069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298</xdr:row>
      <xdr:rowOff>0</xdr:rowOff>
    </xdr:from>
    <xdr:to>
      <xdr:col>9</xdr:col>
      <xdr:colOff>914400</xdr:colOff>
      <xdr:row>311</xdr:row>
      <xdr:rowOff>123825</xdr:rowOff>
    </xdr:to>
    <xdr:graphicFrame macro="">
      <xdr:nvGraphicFramePr>
        <xdr:cNvPr id="2410" name="Chart 38">
          <a:extLst>
            <a:ext uri="{FF2B5EF4-FFF2-40B4-BE49-F238E27FC236}">
              <a16:creationId xmlns:a16="http://schemas.microsoft.com/office/drawing/2014/main" xmlns="" id="{00000000-0008-0000-0900-00006A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952500</xdr:colOff>
      <xdr:row>297</xdr:row>
      <xdr:rowOff>161925</xdr:rowOff>
    </xdr:from>
    <xdr:to>
      <xdr:col>14</xdr:col>
      <xdr:colOff>152400</xdr:colOff>
      <xdr:row>311</xdr:row>
      <xdr:rowOff>142875</xdr:rowOff>
    </xdr:to>
    <xdr:graphicFrame macro="">
      <xdr:nvGraphicFramePr>
        <xdr:cNvPr id="2411" name="Chart 39">
          <a:extLst>
            <a:ext uri="{FF2B5EF4-FFF2-40B4-BE49-F238E27FC236}">
              <a16:creationId xmlns:a16="http://schemas.microsoft.com/office/drawing/2014/main" xmlns="" id="{00000000-0008-0000-0900-00006B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314</xdr:row>
      <xdr:rowOff>0</xdr:rowOff>
    </xdr:from>
    <xdr:to>
      <xdr:col>9</xdr:col>
      <xdr:colOff>904875</xdr:colOff>
      <xdr:row>327</xdr:row>
      <xdr:rowOff>66675</xdr:rowOff>
    </xdr:to>
    <xdr:graphicFrame macro="">
      <xdr:nvGraphicFramePr>
        <xdr:cNvPr id="2412" name="Chart 40">
          <a:extLst>
            <a:ext uri="{FF2B5EF4-FFF2-40B4-BE49-F238E27FC236}">
              <a16:creationId xmlns:a16="http://schemas.microsoft.com/office/drawing/2014/main" xmlns="" id="{00000000-0008-0000-0900-00006C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962025</xdr:colOff>
      <xdr:row>314</xdr:row>
      <xdr:rowOff>0</xdr:rowOff>
    </xdr:from>
    <xdr:to>
      <xdr:col>14</xdr:col>
      <xdr:colOff>152400</xdr:colOff>
      <xdr:row>327</xdr:row>
      <xdr:rowOff>38100</xdr:rowOff>
    </xdr:to>
    <xdr:graphicFrame macro="">
      <xdr:nvGraphicFramePr>
        <xdr:cNvPr id="2413" name="Chart 41">
          <a:extLst>
            <a:ext uri="{FF2B5EF4-FFF2-40B4-BE49-F238E27FC236}">
              <a16:creationId xmlns:a16="http://schemas.microsoft.com/office/drawing/2014/main" xmlns="" id="{00000000-0008-0000-0900-00006D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331</xdr:row>
      <xdr:rowOff>0</xdr:rowOff>
    </xdr:from>
    <xdr:to>
      <xdr:col>9</xdr:col>
      <xdr:colOff>904875</xdr:colOff>
      <xdr:row>343</xdr:row>
      <xdr:rowOff>161925</xdr:rowOff>
    </xdr:to>
    <xdr:graphicFrame macro="">
      <xdr:nvGraphicFramePr>
        <xdr:cNvPr id="2414" name="Chart 42">
          <a:extLst>
            <a:ext uri="{FF2B5EF4-FFF2-40B4-BE49-F238E27FC236}">
              <a16:creationId xmlns:a16="http://schemas.microsoft.com/office/drawing/2014/main" xmlns="" id="{00000000-0008-0000-0900-00006E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1000125</xdr:colOff>
      <xdr:row>331</xdr:row>
      <xdr:rowOff>0</xdr:rowOff>
    </xdr:from>
    <xdr:to>
      <xdr:col>14</xdr:col>
      <xdr:colOff>228600</xdr:colOff>
      <xdr:row>343</xdr:row>
      <xdr:rowOff>161925</xdr:rowOff>
    </xdr:to>
    <xdr:graphicFrame macro="">
      <xdr:nvGraphicFramePr>
        <xdr:cNvPr id="2415" name="Chart 43">
          <a:extLst>
            <a:ext uri="{FF2B5EF4-FFF2-40B4-BE49-F238E27FC236}">
              <a16:creationId xmlns:a16="http://schemas.microsoft.com/office/drawing/2014/main" xmlns="" id="{00000000-0008-0000-0900-00006F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347</xdr:row>
      <xdr:rowOff>0</xdr:rowOff>
    </xdr:from>
    <xdr:to>
      <xdr:col>9</xdr:col>
      <xdr:colOff>914400</xdr:colOff>
      <xdr:row>360</xdr:row>
      <xdr:rowOff>0</xdr:rowOff>
    </xdr:to>
    <xdr:graphicFrame macro="">
      <xdr:nvGraphicFramePr>
        <xdr:cNvPr id="2416" name="Chart 44">
          <a:extLst>
            <a:ext uri="{FF2B5EF4-FFF2-40B4-BE49-F238E27FC236}">
              <a16:creationId xmlns:a16="http://schemas.microsoft.com/office/drawing/2014/main" xmlns="" id="{00000000-0008-0000-0900-000070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1038225</xdr:colOff>
      <xdr:row>346</xdr:row>
      <xdr:rowOff>152400</xdr:rowOff>
    </xdr:from>
    <xdr:to>
      <xdr:col>14</xdr:col>
      <xdr:colOff>276225</xdr:colOff>
      <xdr:row>359</xdr:row>
      <xdr:rowOff>152400</xdr:rowOff>
    </xdr:to>
    <xdr:graphicFrame macro="">
      <xdr:nvGraphicFramePr>
        <xdr:cNvPr id="2417" name="Chart 45">
          <a:extLst>
            <a:ext uri="{FF2B5EF4-FFF2-40B4-BE49-F238E27FC236}">
              <a16:creationId xmlns:a16="http://schemas.microsoft.com/office/drawing/2014/main" xmlns="" id="{00000000-0008-0000-0900-000071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278</xdr:row>
          <xdr:rowOff>60960</xdr:rowOff>
        </xdr:from>
        <xdr:to>
          <xdr:col>5</xdr:col>
          <xdr:colOff>1630680</xdr:colOff>
          <xdr:row>365</xdr:row>
          <xdr:rowOff>99060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xmlns="" id="{00000000-0008-0000-09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600076</xdr:colOff>
      <xdr:row>24</xdr:row>
      <xdr:rowOff>66675</xdr:rowOff>
    </xdr:from>
    <xdr:to>
      <xdr:col>7</xdr:col>
      <xdr:colOff>1000126</xdr:colOff>
      <xdr:row>36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190500</xdr:colOff>
      <xdr:row>2</xdr:row>
      <xdr:rowOff>133350</xdr:rowOff>
    </xdr:from>
    <xdr:to>
      <xdr:col>15</xdr:col>
      <xdr:colOff>247650</xdr:colOff>
      <xdr:row>19</xdr:row>
      <xdr:rowOff>104775</xdr:rowOff>
    </xdr:to>
    <xdr:graphicFrame macro="">
      <xdr:nvGraphicFramePr>
        <xdr:cNvPr id="7" name="Chart 30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161924</xdr:colOff>
      <xdr:row>20</xdr:row>
      <xdr:rowOff>47624</xdr:rowOff>
    </xdr:from>
    <xdr:to>
      <xdr:col>15</xdr:col>
      <xdr:colOff>266699</xdr:colOff>
      <xdr:row>35</xdr:row>
      <xdr:rowOff>161924</xdr:rowOff>
    </xdr:to>
    <xdr:graphicFrame macro="">
      <xdr:nvGraphicFramePr>
        <xdr:cNvPr id="9" name="Chart 31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R29"/>
  <sheetViews>
    <sheetView workbookViewId="0">
      <selection activeCell="E37" sqref="E37"/>
    </sheetView>
  </sheetViews>
  <sheetFormatPr defaultRowHeight="13.2" x14ac:dyDescent="0.25"/>
  <sheetData>
    <row r="2" spans="2:18" x14ac:dyDescent="0.25">
      <c r="B2" s="782" t="s">
        <v>554</v>
      </c>
      <c r="J2" s="782" t="s">
        <v>555</v>
      </c>
    </row>
    <row r="3" spans="2:18" x14ac:dyDescent="0.25">
      <c r="B3" t="s">
        <v>556</v>
      </c>
      <c r="C3" t="s">
        <v>557</v>
      </c>
      <c r="D3" t="s">
        <v>499</v>
      </c>
      <c r="E3" t="s">
        <v>558</v>
      </c>
      <c r="F3" t="s">
        <v>500</v>
      </c>
      <c r="G3" t="s">
        <v>331</v>
      </c>
      <c r="H3" t="s">
        <v>334</v>
      </c>
      <c r="J3" t="s">
        <v>530</v>
      </c>
      <c r="K3" t="s">
        <v>559</v>
      </c>
      <c r="L3" t="s">
        <v>499</v>
      </c>
      <c r="M3" t="s">
        <v>560</v>
      </c>
      <c r="N3" t="s">
        <v>500</v>
      </c>
      <c r="O3" t="s">
        <v>561</v>
      </c>
      <c r="R3" t="s">
        <v>494</v>
      </c>
    </row>
    <row r="4" spans="2:18" ht="15.6" x14ac:dyDescent="0.25">
      <c r="B4" t="s">
        <v>501</v>
      </c>
      <c r="C4" t="s">
        <v>470</v>
      </c>
      <c r="D4" t="s">
        <v>562</v>
      </c>
      <c r="E4" t="s">
        <v>563</v>
      </c>
      <c r="F4" t="s">
        <v>440</v>
      </c>
      <c r="G4" t="s">
        <v>459</v>
      </c>
      <c r="H4" t="s">
        <v>509</v>
      </c>
      <c r="J4" t="s">
        <v>522</v>
      </c>
      <c r="K4" t="s">
        <v>501</v>
      </c>
      <c r="L4" t="s">
        <v>472</v>
      </c>
      <c r="M4" t="s">
        <v>81</v>
      </c>
      <c r="N4" t="s">
        <v>440</v>
      </c>
      <c r="O4" t="s">
        <v>459</v>
      </c>
      <c r="R4" t="s">
        <v>506</v>
      </c>
    </row>
    <row r="5" spans="2:18" x14ac:dyDescent="0.25">
      <c r="B5">
        <v>2</v>
      </c>
      <c r="C5">
        <v>320</v>
      </c>
      <c r="D5">
        <v>1.95</v>
      </c>
      <c r="E5">
        <v>2.8961000000000001E-2</v>
      </c>
      <c r="F5" t="s">
        <v>564</v>
      </c>
      <c r="G5" s="783">
        <f>(D5/$C$25)/100</f>
        <v>2.5351014040561622E-6</v>
      </c>
      <c r="H5">
        <f>(1000*9.81/G5)/(E5/1)/10^9</f>
        <v>133.61650814224967</v>
      </c>
      <c r="J5">
        <v>144</v>
      </c>
      <c r="K5">
        <v>87</v>
      </c>
      <c r="L5">
        <v>3.17</v>
      </c>
      <c r="M5">
        <f>((J5/10^8)/(L5/2700))^(1/2)</f>
        <v>3.5021399496778162E-2</v>
      </c>
      <c r="N5" t="s">
        <v>565</v>
      </c>
      <c r="O5">
        <f>(J5/10^8)/M5^2</f>
        <v>1.1740740740740739E-3</v>
      </c>
    </row>
    <row r="6" spans="2:18" x14ac:dyDescent="0.25">
      <c r="B6">
        <v>2.5</v>
      </c>
      <c r="C6">
        <v>500</v>
      </c>
      <c r="D6">
        <v>3.05</v>
      </c>
      <c r="E6">
        <v>1.8534999999999999E-2</v>
      </c>
      <c r="F6" t="s">
        <v>566</v>
      </c>
      <c r="G6" s="783">
        <f t="shared" ref="G6:G23" si="0">(D6/$C$25)/100</f>
        <v>3.9651586063442534E-6</v>
      </c>
      <c r="H6">
        <f t="shared" ref="H6:H23" si="1">(1000*9.81/G6)/(E6/1)/10^9</f>
        <v>133.47989404184378</v>
      </c>
      <c r="J6">
        <v>191</v>
      </c>
      <c r="K6">
        <v>93</v>
      </c>
      <c r="L6">
        <v>4.18</v>
      </c>
      <c r="M6">
        <f t="shared" ref="M6:M15" si="2">((J6/10^8)/(L6/2700))^(1/2)</f>
        <v>3.5124522166376411E-2</v>
      </c>
      <c r="N6" t="s">
        <v>567</v>
      </c>
      <c r="O6">
        <f t="shared" ref="O6:O15" si="3">(J6/10^8)/M6^2</f>
        <v>1.5481481481481481E-3</v>
      </c>
    </row>
    <row r="7" spans="2:18" x14ac:dyDescent="0.25">
      <c r="B7">
        <v>3</v>
      </c>
      <c r="C7">
        <v>720</v>
      </c>
      <c r="D7">
        <v>4.49</v>
      </c>
      <c r="E7">
        <v>1.2872E-2</v>
      </c>
      <c r="F7" t="s">
        <v>568</v>
      </c>
      <c r="G7" s="783">
        <f t="shared" si="0"/>
        <v>5.8372334893395743E-6</v>
      </c>
      <c r="H7">
        <f t="shared" si="1"/>
        <v>130.56173445305569</v>
      </c>
      <c r="J7">
        <v>257</v>
      </c>
      <c r="K7">
        <v>102</v>
      </c>
      <c r="L7">
        <v>4.74</v>
      </c>
      <c r="M7">
        <f t="shared" si="2"/>
        <v>3.8261260442292166E-2</v>
      </c>
      <c r="N7" t="s">
        <v>569</v>
      </c>
      <c r="O7">
        <f t="shared" si="3"/>
        <v>1.7555555555555556E-3</v>
      </c>
    </row>
    <row r="8" spans="2:18" x14ac:dyDescent="0.25">
      <c r="B8">
        <v>4</v>
      </c>
      <c r="C8">
        <v>1280</v>
      </c>
      <c r="D8">
        <v>7.81</v>
      </c>
      <c r="E8">
        <v>7.378E-3</v>
      </c>
      <c r="F8" t="s">
        <v>570</v>
      </c>
      <c r="G8" s="783">
        <f t="shared" si="0"/>
        <v>1.0153406136245448E-5</v>
      </c>
      <c r="H8">
        <f t="shared" si="1"/>
        <v>130.95394863575106</v>
      </c>
      <c r="J8">
        <v>341</v>
      </c>
      <c r="K8">
        <v>110</v>
      </c>
      <c r="L8">
        <v>5.34</v>
      </c>
      <c r="M8">
        <f t="shared" si="2"/>
        <v>4.1522973200034542E-2</v>
      </c>
      <c r="N8" t="s">
        <v>571</v>
      </c>
      <c r="O8">
        <f t="shared" si="3"/>
        <v>1.9777777777777775E-3</v>
      </c>
    </row>
    <row r="9" spans="2:18" x14ac:dyDescent="0.25">
      <c r="B9">
        <v>5</v>
      </c>
      <c r="C9">
        <v>2000</v>
      </c>
      <c r="D9">
        <v>12.2</v>
      </c>
      <c r="E9">
        <v>4.627E-3</v>
      </c>
      <c r="F9" t="s">
        <v>572</v>
      </c>
      <c r="G9" s="783">
        <f t="shared" si="0"/>
        <v>1.5860634425377014E-5</v>
      </c>
      <c r="H9">
        <f t="shared" si="1"/>
        <v>133.67461833075288</v>
      </c>
      <c r="J9">
        <v>456</v>
      </c>
      <c r="K9">
        <v>119</v>
      </c>
      <c r="L9">
        <v>6.15</v>
      </c>
      <c r="M9">
        <f t="shared" si="2"/>
        <v>4.4743169529126964E-2</v>
      </c>
      <c r="N9" t="s">
        <v>573</v>
      </c>
      <c r="O9">
        <f t="shared" si="3"/>
        <v>2.2777777777777779E-3</v>
      </c>
    </row>
    <row r="10" spans="2:18" x14ac:dyDescent="0.25">
      <c r="B10">
        <v>6</v>
      </c>
      <c r="C10">
        <v>2470</v>
      </c>
      <c r="D10">
        <v>17.600000000000001</v>
      </c>
      <c r="E10">
        <v>3.2239999999999999E-3</v>
      </c>
      <c r="F10" t="s">
        <v>574</v>
      </c>
      <c r="G10" s="783">
        <f t="shared" si="0"/>
        <v>2.2880915236609466E-5</v>
      </c>
      <c r="H10">
        <f t="shared" si="1"/>
        <v>132.98436442589667</v>
      </c>
      <c r="J10">
        <v>614</v>
      </c>
      <c r="K10">
        <v>127</v>
      </c>
      <c r="L10">
        <v>7.15</v>
      </c>
      <c r="M10">
        <f t="shared" si="2"/>
        <v>4.8151857685881636E-2</v>
      </c>
      <c r="N10" t="s">
        <v>575</v>
      </c>
      <c r="O10">
        <f t="shared" si="3"/>
        <v>2.6481481481481482E-3</v>
      </c>
    </row>
    <row r="11" spans="2:18" x14ac:dyDescent="0.25">
      <c r="B11">
        <v>7</v>
      </c>
      <c r="C11">
        <v>3550</v>
      </c>
      <c r="D11">
        <v>23.9</v>
      </c>
      <c r="E11">
        <v>2.274E-3</v>
      </c>
      <c r="F11" t="s">
        <v>576</v>
      </c>
      <c r="G11" s="783">
        <f t="shared" si="0"/>
        <v>3.1071242849713986E-5</v>
      </c>
      <c r="H11">
        <f t="shared" si="1"/>
        <v>138.84169969419634</v>
      </c>
      <c r="J11">
        <v>830</v>
      </c>
      <c r="K11">
        <v>136</v>
      </c>
      <c r="L11">
        <v>8.4</v>
      </c>
      <c r="M11">
        <f t="shared" si="2"/>
        <v>5.1651303399402639E-2</v>
      </c>
      <c r="N11" t="s">
        <v>577</v>
      </c>
      <c r="O11">
        <f t="shared" si="3"/>
        <v>3.1111111111111118E-3</v>
      </c>
    </row>
    <row r="12" spans="2:18" x14ac:dyDescent="0.25">
      <c r="B12">
        <v>8</v>
      </c>
      <c r="C12">
        <v>4640</v>
      </c>
      <c r="D12">
        <v>31.2</v>
      </c>
      <c r="E12">
        <v>1.833E-3</v>
      </c>
      <c r="F12" t="s">
        <v>578</v>
      </c>
      <c r="G12" s="783">
        <f t="shared" si="0"/>
        <v>4.0561622464898595E-5</v>
      </c>
      <c r="H12">
        <f t="shared" si="1"/>
        <v>131.94447941583786</v>
      </c>
      <c r="J12">
        <v>1127</v>
      </c>
      <c r="K12">
        <v>147</v>
      </c>
      <c r="L12">
        <v>9.7200000000000006</v>
      </c>
      <c r="M12">
        <f t="shared" si="2"/>
        <v>5.5951367771981723E-2</v>
      </c>
      <c r="N12" t="s">
        <v>579</v>
      </c>
      <c r="O12">
        <f t="shared" si="3"/>
        <v>3.6000000000000003E-3</v>
      </c>
    </row>
    <row r="13" spans="2:18" x14ac:dyDescent="0.25">
      <c r="B13">
        <v>10</v>
      </c>
      <c r="C13">
        <v>7250</v>
      </c>
      <c r="D13">
        <v>48.8</v>
      </c>
      <c r="E13">
        <v>1.157E-3</v>
      </c>
      <c r="F13" t="s">
        <v>580</v>
      </c>
      <c r="G13" s="783">
        <f t="shared" si="0"/>
        <v>6.3442537701508054E-5</v>
      </c>
      <c r="H13">
        <f t="shared" si="1"/>
        <v>133.645734446066</v>
      </c>
      <c r="J13">
        <v>1524</v>
      </c>
      <c r="K13">
        <v>157</v>
      </c>
      <c r="L13">
        <v>11.44</v>
      </c>
      <c r="M13">
        <f t="shared" si="2"/>
        <v>5.9973770490549846E-2</v>
      </c>
      <c r="N13" t="s">
        <v>581</v>
      </c>
      <c r="O13">
        <f t="shared" si="3"/>
        <v>4.2370370370370366E-3</v>
      </c>
    </row>
    <row r="14" spans="2:18" x14ac:dyDescent="0.25">
      <c r="B14">
        <v>11</v>
      </c>
      <c r="C14">
        <v>8770</v>
      </c>
      <c r="D14">
        <v>59.1</v>
      </c>
      <c r="E14">
        <v>9.3599999999999998E-4</v>
      </c>
      <c r="F14" t="s">
        <v>582</v>
      </c>
      <c r="G14" s="783">
        <f t="shared" si="0"/>
        <v>7.6833073322932918E-5</v>
      </c>
      <c r="H14">
        <f t="shared" si="1"/>
        <v>136.40960562280358</v>
      </c>
      <c r="J14">
        <v>2056</v>
      </c>
      <c r="K14">
        <v>171</v>
      </c>
      <c r="L14">
        <v>13.06</v>
      </c>
      <c r="M14">
        <f t="shared" si="2"/>
        <v>6.5196134760803506E-2</v>
      </c>
      <c r="N14" t="s">
        <v>583</v>
      </c>
      <c r="O14">
        <f t="shared" si="3"/>
        <v>4.8370370370370373E-3</v>
      </c>
    </row>
    <row r="15" spans="2:18" x14ac:dyDescent="0.25">
      <c r="B15">
        <v>12</v>
      </c>
      <c r="C15">
        <v>10400</v>
      </c>
      <c r="D15">
        <v>70.3</v>
      </c>
      <c r="E15">
        <v>8.0599999999999997E-4</v>
      </c>
      <c r="F15" t="s">
        <v>584</v>
      </c>
      <c r="G15" s="783">
        <f t="shared" si="0"/>
        <v>9.1393655746229842E-5</v>
      </c>
      <c r="H15">
        <f t="shared" si="1"/>
        <v>133.17353137387096</v>
      </c>
      <c r="J15">
        <v>3161</v>
      </c>
      <c r="K15">
        <v>194</v>
      </c>
      <c r="L15">
        <v>15.5</v>
      </c>
      <c r="M15">
        <f t="shared" si="2"/>
        <v>7.4204164738349621E-2</v>
      </c>
      <c r="N15" t="s">
        <v>585</v>
      </c>
      <c r="O15">
        <f t="shared" si="3"/>
        <v>5.7407407407407398E-3</v>
      </c>
    </row>
    <row r="16" spans="2:18" x14ac:dyDescent="0.25">
      <c r="B16">
        <v>14</v>
      </c>
      <c r="C16">
        <v>14180</v>
      </c>
      <c r="D16">
        <v>95.7</v>
      </c>
      <c r="E16">
        <v>5.6599999999999999E-4</v>
      </c>
      <c r="F16" t="s">
        <v>586</v>
      </c>
      <c r="G16" s="783">
        <f t="shared" si="0"/>
        <v>1.2441497659906395E-4</v>
      </c>
      <c r="H16">
        <f t="shared" si="1"/>
        <v>139.30923712573525</v>
      </c>
    </row>
    <row r="17" spans="2:8" x14ac:dyDescent="0.25">
      <c r="B17">
        <v>16</v>
      </c>
      <c r="C17">
        <v>18560</v>
      </c>
      <c r="D17">
        <v>125</v>
      </c>
      <c r="E17" s="784">
        <v>4.6000000000000001E-4</v>
      </c>
      <c r="F17" t="s">
        <v>587</v>
      </c>
      <c r="G17" s="783">
        <f t="shared" si="0"/>
        <v>1.625065002600104E-4</v>
      </c>
      <c r="H17">
        <f t="shared" si="1"/>
        <v>131.23220869565219</v>
      </c>
    </row>
    <row r="18" spans="2:8" x14ac:dyDescent="0.25">
      <c r="B18">
        <v>19</v>
      </c>
      <c r="C18">
        <v>21620</v>
      </c>
      <c r="D18">
        <v>176</v>
      </c>
      <c r="E18">
        <v>3.19E-4</v>
      </c>
      <c r="F18" t="s">
        <v>588</v>
      </c>
      <c r="G18" s="783">
        <f t="shared" si="0"/>
        <v>2.2880915236609463E-4</v>
      </c>
      <c r="H18">
        <f t="shared" si="1"/>
        <v>134.40175263607867</v>
      </c>
    </row>
    <row r="19" spans="2:8" x14ac:dyDescent="0.25">
      <c r="B19">
        <v>22</v>
      </c>
      <c r="C19">
        <v>29070</v>
      </c>
      <c r="D19">
        <v>236</v>
      </c>
      <c r="E19">
        <v>2.3499999999999999E-4</v>
      </c>
      <c r="F19" t="s">
        <v>589</v>
      </c>
      <c r="G19" s="783">
        <f t="shared" si="0"/>
        <v>3.0681227249089964E-4</v>
      </c>
      <c r="H19">
        <f t="shared" si="1"/>
        <v>136.05935809592498</v>
      </c>
    </row>
    <row r="20" spans="2:8" x14ac:dyDescent="0.25">
      <c r="B20">
        <v>26</v>
      </c>
      <c r="C20">
        <v>40600</v>
      </c>
      <c r="D20">
        <v>330</v>
      </c>
      <c r="E20" s="784">
        <v>1.8000000000000001E-4</v>
      </c>
      <c r="F20" t="s">
        <v>590</v>
      </c>
      <c r="G20" s="783">
        <f t="shared" si="0"/>
        <v>4.2901716068642745E-4</v>
      </c>
      <c r="H20">
        <f t="shared" si="1"/>
        <v>127.03454545454545</v>
      </c>
    </row>
    <row r="21" spans="2:8" x14ac:dyDescent="0.25">
      <c r="B21">
        <v>28</v>
      </c>
      <c r="C21">
        <v>52600</v>
      </c>
      <c r="D21">
        <v>383</v>
      </c>
      <c r="E21">
        <v>1.4200000000000001E-4</v>
      </c>
      <c r="F21" t="s">
        <v>591</v>
      </c>
      <c r="G21" s="783">
        <f t="shared" si="0"/>
        <v>4.9791991679667188E-4</v>
      </c>
      <c r="H21">
        <f t="shared" si="1"/>
        <v>138.74622145405067</v>
      </c>
    </row>
    <row r="22" spans="2:8" x14ac:dyDescent="0.25">
      <c r="B22">
        <v>30</v>
      </c>
      <c r="C22">
        <v>58800</v>
      </c>
      <c r="D22">
        <v>443</v>
      </c>
      <c r="E22">
        <v>1.27E-4</v>
      </c>
      <c r="F22" t="s">
        <v>592</v>
      </c>
      <c r="G22" s="783">
        <f t="shared" si="0"/>
        <v>5.7592303692147683E-4</v>
      </c>
      <c r="H22">
        <f t="shared" si="1"/>
        <v>134.1222516485665</v>
      </c>
    </row>
    <row r="23" spans="2:8" x14ac:dyDescent="0.25">
      <c r="B23">
        <v>32</v>
      </c>
      <c r="C23">
        <v>62800</v>
      </c>
      <c r="D23">
        <v>500</v>
      </c>
      <c r="E23">
        <v>1.15E-4</v>
      </c>
      <c r="F23" t="s">
        <v>593</v>
      </c>
      <c r="G23" s="783">
        <f t="shared" si="0"/>
        <v>6.5002600104004159E-4</v>
      </c>
      <c r="H23">
        <f t="shared" si="1"/>
        <v>131.23220869565219</v>
      </c>
    </row>
    <row r="24" spans="2:8" x14ac:dyDescent="0.25">
      <c r="H24">
        <f>AVERAGE(H5:H23)</f>
        <v>133.75915275729108</v>
      </c>
    </row>
    <row r="25" spans="2:8" x14ac:dyDescent="0.25">
      <c r="B25" t="s">
        <v>594</v>
      </c>
      <c r="C25">
        <v>7692</v>
      </c>
    </row>
    <row r="29" spans="2:8" x14ac:dyDescent="0.25">
      <c r="B29" s="78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activeCell="O47" sqref="O47"/>
    </sheetView>
  </sheetViews>
  <sheetFormatPr defaultRowHeight="13.2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H138"/>
  <sheetViews>
    <sheetView topLeftCell="A112" zoomScaleNormal="100" workbookViewId="0">
      <selection activeCell="D136" sqref="D136"/>
    </sheetView>
  </sheetViews>
  <sheetFormatPr defaultRowHeight="13.2" x14ac:dyDescent="0.25"/>
  <cols>
    <col min="2" max="2" width="29.6640625" bestFit="1" customWidth="1"/>
    <col min="3" max="3" width="12.6640625" bestFit="1" customWidth="1"/>
    <col min="4" max="4" width="11.33203125" bestFit="1" customWidth="1"/>
    <col min="5" max="5" width="12.33203125" bestFit="1" customWidth="1"/>
    <col min="6" max="6" width="11.44140625" bestFit="1" customWidth="1"/>
    <col min="7" max="7" width="12.109375" bestFit="1" customWidth="1"/>
  </cols>
  <sheetData>
    <row r="1" spans="1:8" ht="13.8" thickBot="1" x14ac:dyDescent="0.3">
      <c r="A1" s="317"/>
      <c r="B1" s="317"/>
      <c r="C1" s="317"/>
      <c r="D1" s="317"/>
      <c r="E1" s="317"/>
      <c r="F1" s="317"/>
      <c r="G1" s="317"/>
      <c r="H1" s="317"/>
    </row>
    <row r="2" spans="1:8" ht="13.8" thickBot="1" x14ac:dyDescent="0.3">
      <c r="A2" s="317"/>
      <c r="B2" s="803" t="s">
        <v>436</v>
      </c>
      <c r="C2" s="804"/>
      <c r="D2" s="805"/>
      <c r="E2" s="317"/>
      <c r="F2" s="317"/>
      <c r="G2" s="317"/>
      <c r="H2" s="317"/>
    </row>
    <row r="3" spans="1:8" x14ac:dyDescent="0.25">
      <c r="A3" s="317"/>
      <c r="B3" s="754" t="str">
        <f>CONCATENATE("H3 (",ROUND(C3/$C$24*100,0),"% of I)")</f>
        <v>H3 (29% of I)</v>
      </c>
      <c r="C3" s="755">
        <v>7.17</v>
      </c>
      <c r="D3" s="754" t="s">
        <v>81</v>
      </c>
      <c r="E3" s="317"/>
      <c r="F3" s="317"/>
      <c r="G3" s="317"/>
      <c r="H3" s="317"/>
    </row>
    <row r="4" spans="1:8" x14ac:dyDescent="0.25">
      <c r="A4" s="317"/>
      <c r="B4" s="753" t="str">
        <f>CONCATENATE("H2 (",ROUND(C4/$C$24*100,0),"% of I)")</f>
        <v>H2 (34% of I)</v>
      </c>
      <c r="C4" s="756">
        <v>8.43</v>
      </c>
      <c r="D4" s="753" t="s">
        <v>81</v>
      </c>
      <c r="E4" s="317"/>
      <c r="F4" s="317"/>
      <c r="G4" s="317"/>
      <c r="H4" s="317"/>
    </row>
    <row r="5" spans="1:8" x14ac:dyDescent="0.25">
      <c r="A5" s="317"/>
      <c r="B5" s="753" t="str">
        <f>CONCATENATE("H1 (",ROUND(C5/$C$24*100,0),"% of I)")</f>
        <v>H1 (38% of I)</v>
      </c>
      <c r="C5" s="756">
        <v>9.5</v>
      </c>
      <c r="D5" s="753" t="s">
        <v>81</v>
      </c>
      <c r="E5" s="317"/>
      <c r="F5" s="317"/>
      <c r="G5" s="317"/>
      <c r="H5" s="317"/>
    </row>
    <row r="6" spans="1:8" x14ac:dyDescent="0.25">
      <c r="A6" s="317"/>
      <c r="B6" s="753" t="s">
        <v>437</v>
      </c>
      <c r="C6" s="756">
        <v>1.7</v>
      </c>
      <c r="D6" s="753" t="s">
        <v>81</v>
      </c>
      <c r="E6" s="317"/>
      <c r="F6" s="317"/>
      <c r="G6" s="317"/>
      <c r="H6" s="317"/>
    </row>
    <row r="7" spans="1:8" x14ac:dyDescent="0.25">
      <c r="A7" s="317"/>
      <c r="B7" s="753" t="s">
        <v>438</v>
      </c>
      <c r="C7" s="756">
        <v>2.15</v>
      </c>
      <c r="D7" s="753" t="s">
        <v>81</v>
      </c>
      <c r="E7" s="317"/>
      <c r="F7" s="317"/>
      <c r="G7" s="317"/>
      <c r="H7" s="317"/>
    </row>
    <row r="8" spans="1:8" x14ac:dyDescent="0.25">
      <c r="A8" s="317"/>
      <c r="B8" s="753" t="s">
        <v>439</v>
      </c>
      <c r="C8" s="756">
        <v>2.2999999999999998</v>
      </c>
      <c r="D8" s="753" t="s">
        <v>81</v>
      </c>
      <c r="E8" s="317"/>
      <c r="F8" s="317"/>
      <c r="G8" s="317"/>
      <c r="H8" s="317"/>
    </row>
    <row r="9" spans="1:8" x14ac:dyDescent="0.25">
      <c r="A9" s="317"/>
      <c r="B9" s="753" t="str">
        <f>CONCATENATE("Forestay sag (",ROUND(C9*C20*1000,0),"mm)")</f>
        <v>Forestay sag (777mm)</v>
      </c>
      <c r="C9" s="757">
        <v>0.03</v>
      </c>
      <c r="D9" s="753" t="s">
        <v>440</v>
      </c>
      <c r="E9" s="317"/>
      <c r="F9" s="317"/>
      <c r="G9" s="317"/>
      <c r="H9" s="317"/>
    </row>
    <row r="10" spans="1:8" x14ac:dyDescent="0.25">
      <c r="A10" s="317"/>
      <c r="B10" s="753" t="s">
        <v>441</v>
      </c>
      <c r="C10" s="758">
        <v>20</v>
      </c>
      <c r="D10" s="753" t="s">
        <v>442</v>
      </c>
      <c r="E10" s="317"/>
      <c r="F10" s="317" t="s">
        <v>595</v>
      </c>
      <c r="G10" s="317"/>
      <c r="H10" s="317"/>
    </row>
    <row r="11" spans="1:8" x14ac:dyDescent="0.25">
      <c r="A11" s="317"/>
      <c r="B11" s="753" t="s">
        <v>443</v>
      </c>
      <c r="C11" s="759">
        <f>DEGREES(ATAN(C6/C3))</f>
        <v>13.338468933863281</v>
      </c>
      <c r="D11" s="753" t="s">
        <v>442</v>
      </c>
      <c r="E11" s="317"/>
      <c r="F11" s="317"/>
      <c r="G11" s="317"/>
      <c r="H11" s="317"/>
    </row>
    <row r="12" spans="1:8" x14ac:dyDescent="0.25">
      <c r="A12" s="317"/>
      <c r="B12" s="753" t="s">
        <v>444</v>
      </c>
      <c r="C12" s="759">
        <f>DEGREES(ATAN(C7/C4))</f>
        <v>14.307785413611002</v>
      </c>
      <c r="D12" s="753" t="s">
        <v>442</v>
      </c>
      <c r="E12" s="317"/>
      <c r="F12" s="317"/>
      <c r="G12" s="317"/>
      <c r="H12" s="317"/>
    </row>
    <row r="13" spans="1:8" x14ac:dyDescent="0.25">
      <c r="A13" s="317"/>
      <c r="B13" s="753" t="s">
        <v>445</v>
      </c>
      <c r="C13" s="759">
        <f>DEGREES(ATAN(C8/C5))</f>
        <v>13.609731895812198</v>
      </c>
      <c r="D13" s="753" t="s">
        <v>442</v>
      </c>
      <c r="E13" s="317"/>
      <c r="F13" s="317"/>
      <c r="G13" s="317"/>
      <c r="H13" s="317"/>
    </row>
    <row r="14" spans="1:8" x14ac:dyDescent="0.25">
      <c r="A14" s="317"/>
      <c r="B14" s="753" t="s">
        <v>446</v>
      </c>
      <c r="C14" s="759">
        <f>DEGREES(ATAN(C25/C24))</f>
        <v>14.277589047713187</v>
      </c>
      <c r="D14" s="753" t="s">
        <v>442</v>
      </c>
      <c r="E14" s="317"/>
      <c r="F14" s="317"/>
      <c r="G14" s="317"/>
      <c r="H14" s="317"/>
    </row>
    <row r="15" spans="1:8" x14ac:dyDescent="0.25">
      <c r="A15" s="317"/>
      <c r="B15" s="753" t="s">
        <v>447</v>
      </c>
      <c r="C15" s="759">
        <f>(C3^2+C6^2)^(1/2)</f>
        <v>7.3687787319202354</v>
      </c>
      <c r="D15" s="753" t="s">
        <v>81</v>
      </c>
      <c r="E15" s="317"/>
      <c r="F15" s="317"/>
      <c r="G15" s="317"/>
      <c r="H15" s="317"/>
    </row>
    <row r="16" spans="1:8" x14ac:dyDescent="0.25">
      <c r="A16" s="317"/>
      <c r="B16" s="753" t="s">
        <v>448</v>
      </c>
      <c r="C16" s="759">
        <f>(C4^2+C7^2)^(1/2)</f>
        <v>8.6998505734294085</v>
      </c>
      <c r="D16" s="753" t="s">
        <v>81</v>
      </c>
      <c r="E16" s="317"/>
      <c r="F16" s="317"/>
      <c r="G16" s="317"/>
      <c r="H16" s="317"/>
    </row>
    <row r="17" spans="1:8" x14ac:dyDescent="0.25">
      <c r="A17" s="317"/>
      <c r="B17" s="753" t="s">
        <v>449</v>
      </c>
      <c r="C17" s="759">
        <f>(C5^2+C8^2)^(1/2)</f>
        <v>9.7744565066299209</v>
      </c>
      <c r="D17" s="753" t="s">
        <v>81</v>
      </c>
      <c r="E17" s="317"/>
      <c r="F17" s="317"/>
      <c r="G17" s="317"/>
      <c r="H17" s="317"/>
    </row>
    <row r="18" spans="1:8" x14ac:dyDescent="0.25">
      <c r="A18" s="317"/>
      <c r="B18" s="753" t="s">
        <v>450</v>
      </c>
      <c r="C18" s="759">
        <f>(C4^2+(C7-C6)^2)^(1/2)</f>
        <v>8.442002132195892</v>
      </c>
      <c r="D18" s="753" t="s">
        <v>81</v>
      </c>
      <c r="E18" s="317"/>
      <c r="F18" s="317"/>
      <c r="G18" s="317"/>
      <c r="H18" s="317"/>
    </row>
    <row r="19" spans="1:8" x14ac:dyDescent="0.25">
      <c r="A19" s="317"/>
      <c r="B19" s="753" t="s">
        <v>451</v>
      </c>
      <c r="C19" s="759">
        <f>(C5^2+(C8-C7)^2)^(1/2)</f>
        <v>9.5011841367273799</v>
      </c>
      <c r="D19" s="753" t="s">
        <v>81</v>
      </c>
      <c r="E19" s="317"/>
      <c r="F19" s="317"/>
      <c r="G19" s="317"/>
      <c r="H19" s="317"/>
    </row>
    <row r="20" spans="1:8" x14ac:dyDescent="0.25">
      <c r="A20" s="317"/>
      <c r="B20" s="760" t="s">
        <v>452</v>
      </c>
      <c r="C20" s="759">
        <f>(C24^2+C25^2)^(1/2)</f>
        <v>25.910310688990201</v>
      </c>
      <c r="D20" s="760" t="s">
        <v>81</v>
      </c>
      <c r="E20" s="317"/>
      <c r="F20" s="317"/>
      <c r="G20" s="317"/>
      <c r="H20" s="317"/>
    </row>
    <row r="21" spans="1:8" x14ac:dyDescent="0.25">
      <c r="A21" s="317"/>
      <c r="B21" s="760" t="s">
        <v>453</v>
      </c>
      <c r="C21" s="759">
        <f>C24/COS(RADIANS(C10))</f>
        <v>26.721503866870151</v>
      </c>
      <c r="D21" s="760" t="s">
        <v>81</v>
      </c>
      <c r="E21" s="317"/>
      <c r="F21" s="317"/>
      <c r="G21" s="317"/>
      <c r="H21" s="317"/>
    </row>
    <row r="22" spans="1:8" ht="13.8" thickBot="1" x14ac:dyDescent="0.3">
      <c r="A22" s="317"/>
      <c r="B22" s="317"/>
      <c r="C22" s="317"/>
      <c r="D22" s="317"/>
      <c r="E22" s="317"/>
      <c r="F22" s="317"/>
      <c r="G22" s="317"/>
      <c r="H22" s="317"/>
    </row>
    <row r="23" spans="1:8" ht="13.8" thickBot="1" x14ac:dyDescent="0.3">
      <c r="A23" s="317"/>
      <c r="B23" s="803" t="s">
        <v>454</v>
      </c>
      <c r="C23" s="804"/>
      <c r="D23" s="805"/>
      <c r="E23" s="317"/>
      <c r="F23" s="317"/>
      <c r="G23" s="317"/>
      <c r="H23" s="317"/>
    </row>
    <row r="24" spans="1:8" x14ac:dyDescent="0.25">
      <c r="A24" s="317"/>
      <c r="B24" s="754" t="s">
        <v>358</v>
      </c>
      <c r="C24" s="755">
        <v>25.11</v>
      </c>
      <c r="D24" s="754" t="s">
        <v>81</v>
      </c>
      <c r="E24" s="317"/>
      <c r="F24" s="317"/>
      <c r="G24" s="317"/>
      <c r="H24" s="317"/>
    </row>
    <row r="25" spans="1:8" x14ac:dyDescent="0.25">
      <c r="A25" s="317"/>
      <c r="B25" s="753" t="s">
        <v>338</v>
      </c>
      <c r="C25" s="756">
        <v>6.39</v>
      </c>
      <c r="D25" s="753" t="s">
        <v>81</v>
      </c>
      <c r="E25" s="761"/>
      <c r="F25" s="317"/>
      <c r="G25" s="317"/>
      <c r="H25" s="317"/>
    </row>
    <row r="26" spans="1:8" x14ac:dyDescent="0.25">
      <c r="A26" s="317"/>
      <c r="B26" s="753" t="s">
        <v>356</v>
      </c>
      <c r="C26" s="756">
        <v>22.56</v>
      </c>
      <c r="D26" s="753" t="s">
        <v>81</v>
      </c>
      <c r="E26" s="317"/>
      <c r="F26" s="317"/>
      <c r="G26" s="317"/>
      <c r="H26" s="317"/>
    </row>
    <row r="27" spans="1:8" x14ac:dyDescent="0.25">
      <c r="A27" s="317"/>
      <c r="B27" s="753" t="s">
        <v>334</v>
      </c>
      <c r="C27" s="756">
        <v>7.02</v>
      </c>
      <c r="D27" s="753" t="s">
        <v>81</v>
      </c>
      <c r="E27" s="317"/>
      <c r="F27" s="317"/>
      <c r="G27" s="317"/>
      <c r="H27" s="317"/>
    </row>
    <row r="28" spans="1:8" ht="15.6" x14ac:dyDescent="0.35">
      <c r="A28" s="317"/>
      <c r="B28" s="753" t="s">
        <v>455</v>
      </c>
      <c r="C28" s="757">
        <v>1.2</v>
      </c>
      <c r="D28" s="753" t="s">
        <v>456</v>
      </c>
      <c r="E28" s="317"/>
      <c r="F28" s="317"/>
      <c r="G28" s="317"/>
      <c r="H28" s="317"/>
    </row>
    <row r="29" spans="1:8" x14ac:dyDescent="0.25">
      <c r="A29" s="317"/>
      <c r="B29" s="753" t="s">
        <v>457</v>
      </c>
      <c r="C29" s="757">
        <v>0.15</v>
      </c>
      <c r="D29" s="753" t="s">
        <v>456</v>
      </c>
      <c r="E29" s="317"/>
      <c r="F29" s="317"/>
      <c r="G29" s="317"/>
      <c r="H29" s="317"/>
    </row>
    <row r="30" spans="1:8" ht="16.8" x14ac:dyDescent="0.35">
      <c r="A30" s="317"/>
      <c r="B30" s="753" t="s">
        <v>458</v>
      </c>
      <c r="C30" s="759">
        <f>C24*C25/2*C28</f>
        <v>96.271739999999994</v>
      </c>
      <c r="D30" s="753" t="s">
        <v>459</v>
      </c>
      <c r="E30" s="317"/>
      <c r="F30" s="317"/>
      <c r="G30" s="317"/>
      <c r="H30" s="317"/>
    </row>
    <row r="31" spans="1:8" ht="16.8" x14ac:dyDescent="0.35">
      <c r="A31" s="317"/>
      <c r="B31" s="753" t="s">
        <v>460</v>
      </c>
      <c r="C31" s="759">
        <f>C26*C27/2*(C29+1)</f>
        <v>91.063439999999986</v>
      </c>
      <c r="D31" s="753" t="s">
        <v>459</v>
      </c>
      <c r="E31" s="317"/>
      <c r="F31" s="317"/>
      <c r="G31" s="317"/>
      <c r="H31" s="317"/>
    </row>
    <row r="32" spans="1:8" ht="13.8" thickBot="1" x14ac:dyDescent="0.3">
      <c r="A32" s="317"/>
      <c r="B32" s="317"/>
      <c r="C32" s="762"/>
      <c r="D32" s="317"/>
      <c r="E32" s="317"/>
      <c r="F32" s="317"/>
      <c r="G32" s="317"/>
      <c r="H32" s="317"/>
    </row>
    <row r="33" spans="1:8" ht="13.8" thickBot="1" x14ac:dyDescent="0.3">
      <c r="A33" s="317"/>
      <c r="B33" s="803" t="s">
        <v>461</v>
      </c>
      <c r="C33" s="804"/>
      <c r="D33" s="805"/>
      <c r="E33" s="317"/>
      <c r="F33" s="317"/>
      <c r="G33" s="317"/>
      <c r="H33" s="317"/>
    </row>
    <row r="34" spans="1:8" ht="15.6" x14ac:dyDescent="0.35">
      <c r="A34" s="317"/>
      <c r="B34" s="754" t="s">
        <v>462</v>
      </c>
      <c r="C34" s="763">
        <f>ROUND('Hull RM''s'!K39*'Initial Boat Data'!C48*1000,0)</f>
        <v>16103</v>
      </c>
      <c r="D34" s="754" t="s">
        <v>463</v>
      </c>
      <c r="E34" s="317"/>
      <c r="F34" s="317"/>
      <c r="G34" s="317"/>
      <c r="H34" s="317"/>
    </row>
    <row r="35" spans="1:8" ht="13.8" thickBot="1" x14ac:dyDescent="0.3">
      <c r="A35" s="317"/>
      <c r="B35" s="317"/>
      <c r="C35" s="317"/>
      <c r="D35" s="317"/>
      <c r="E35" s="317"/>
      <c r="F35" s="317"/>
      <c r="G35" s="317"/>
      <c r="H35" s="317"/>
    </row>
    <row r="36" spans="1:8" ht="13.8" thickBot="1" x14ac:dyDescent="0.3">
      <c r="A36" s="317"/>
      <c r="B36" s="803" t="s">
        <v>464</v>
      </c>
      <c r="C36" s="804"/>
      <c r="D36" s="805"/>
      <c r="E36" s="317"/>
      <c r="F36" s="317"/>
      <c r="G36" s="317"/>
      <c r="H36" s="317"/>
    </row>
    <row r="37" spans="1:8" ht="15.6" x14ac:dyDescent="0.25">
      <c r="A37" s="317"/>
      <c r="B37" s="754" t="s">
        <v>465</v>
      </c>
      <c r="C37" s="764">
        <v>5.0885488805145069</v>
      </c>
      <c r="D37" s="754" t="s">
        <v>466</v>
      </c>
      <c r="E37" s="317"/>
      <c r="F37" s="317"/>
      <c r="G37" s="317"/>
      <c r="H37" s="317"/>
    </row>
    <row r="38" spans="1:8" x14ac:dyDescent="0.25">
      <c r="A38" s="317"/>
      <c r="B38" s="753" t="s">
        <v>467</v>
      </c>
      <c r="C38" s="765">
        <f>C65*C8</f>
        <v>13706.000000000002</v>
      </c>
      <c r="D38" s="753" t="s">
        <v>463</v>
      </c>
      <c r="E38" s="317"/>
      <c r="F38" s="317"/>
      <c r="G38" s="317"/>
      <c r="H38" s="317"/>
    </row>
    <row r="39" spans="1:8" ht="13.8" thickBot="1" x14ac:dyDescent="0.3">
      <c r="A39" s="317"/>
      <c r="B39" s="317"/>
      <c r="C39" s="767">
        <f>C38-C34</f>
        <v>-2396.9999999999982</v>
      </c>
      <c r="D39" s="317"/>
      <c r="E39" s="317"/>
      <c r="F39" s="317"/>
      <c r="G39" s="317"/>
      <c r="H39" s="317"/>
    </row>
    <row r="40" spans="1:8" ht="13.8" thickBot="1" x14ac:dyDescent="0.3">
      <c r="A40" s="317"/>
      <c r="B40" s="803" t="s">
        <v>468</v>
      </c>
      <c r="C40" s="804"/>
      <c r="D40" s="805"/>
      <c r="E40" s="317"/>
      <c r="F40" s="317"/>
      <c r="G40" s="317"/>
      <c r="H40" s="317"/>
    </row>
    <row r="41" spans="1:8" x14ac:dyDescent="0.25">
      <c r="A41" s="317"/>
      <c r="B41" s="754" t="s">
        <v>469</v>
      </c>
      <c r="C41" s="766">
        <f>C30*C37/2</f>
        <v>244.94172740109181</v>
      </c>
      <c r="D41" s="754" t="s">
        <v>470</v>
      </c>
      <c r="E41" s="317"/>
      <c r="F41" s="317"/>
      <c r="G41" s="317"/>
      <c r="H41" s="317"/>
    </row>
    <row r="42" spans="1:8" x14ac:dyDescent="0.25">
      <c r="A42" s="317"/>
      <c r="B42" s="753" t="s">
        <v>471</v>
      </c>
      <c r="C42" s="765">
        <f>C31*C37/C26</f>
        <v>20.539927556196805</v>
      </c>
      <c r="D42" s="753" t="s">
        <v>472</v>
      </c>
      <c r="E42" s="317"/>
      <c r="F42" s="317"/>
      <c r="G42" s="317"/>
      <c r="H42" s="317"/>
    </row>
    <row r="43" spans="1:8" ht="13.8" thickBot="1" x14ac:dyDescent="0.3">
      <c r="A43" s="317"/>
      <c r="B43" s="317"/>
      <c r="C43" s="317"/>
      <c r="D43" s="317"/>
      <c r="E43" s="317"/>
      <c r="F43" s="317"/>
      <c r="G43" s="317"/>
      <c r="H43" s="317"/>
    </row>
    <row r="44" spans="1:8" ht="13.8" thickBot="1" x14ac:dyDescent="0.3">
      <c r="A44" s="317"/>
      <c r="B44" s="803" t="s">
        <v>473</v>
      </c>
      <c r="C44" s="804"/>
      <c r="D44" s="805"/>
      <c r="E44" s="317"/>
      <c r="F44" s="317"/>
      <c r="G44" s="317"/>
      <c r="H44" s="317"/>
    </row>
    <row r="45" spans="1:8" x14ac:dyDescent="0.25">
      <c r="A45" s="317"/>
      <c r="B45" s="754" t="s">
        <v>474</v>
      </c>
      <c r="C45" s="766">
        <f>C41+C42*C3/2</f>
        <v>318.57736769005737</v>
      </c>
      <c r="D45" s="754" t="s">
        <v>470</v>
      </c>
      <c r="E45" s="317"/>
      <c r="F45" s="317"/>
      <c r="G45" s="317"/>
      <c r="H45" s="317"/>
    </row>
    <row r="46" spans="1:8" x14ac:dyDescent="0.25">
      <c r="A46" s="317"/>
      <c r="B46" s="753" t="s">
        <v>475</v>
      </c>
      <c r="C46" s="765">
        <f>C42*SUM(C3:C4)/2+C59</f>
        <v>478.78880262839243</v>
      </c>
      <c r="D46" s="753" t="s">
        <v>470</v>
      </c>
      <c r="E46" s="767"/>
      <c r="F46" s="317"/>
      <c r="G46" s="317"/>
      <c r="H46" s="317"/>
    </row>
    <row r="47" spans="1:8" x14ac:dyDescent="0.25">
      <c r="A47" s="317"/>
      <c r="B47" s="753" t="s">
        <v>476</v>
      </c>
      <c r="C47" s="765">
        <f>C42*SUM(C4:C5)/2+C60</f>
        <v>662.92925316969672</v>
      </c>
      <c r="D47" s="753" t="s">
        <v>470</v>
      </c>
      <c r="E47" s="767"/>
      <c r="F47" s="317"/>
      <c r="G47" s="317"/>
      <c r="H47" s="317"/>
    </row>
    <row r="48" spans="1:8" ht="13.8" thickBot="1" x14ac:dyDescent="0.3">
      <c r="A48" s="317"/>
      <c r="B48" s="317"/>
      <c r="C48" s="767"/>
      <c r="D48" s="317"/>
      <c r="E48" s="317"/>
      <c r="F48" s="317"/>
      <c r="G48" s="317"/>
      <c r="H48" s="317"/>
    </row>
    <row r="49" spans="1:8" ht="13.8" thickBot="1" x14ac:dyDescent="0.3">
      <c r="A49" s="317"/>
      <c r="B49" s="803" t="s">
        <v>477</v>
      </c>
      <c r="C49" s="804"/>
      <c r="D49" s="805"/>
      <c r="E49" s="317"/>
      <c r="F49" s="317"/>
      <c r="G49" s="317"/>
      <c r="H49" s="317"/>
    </row>
    <row r="50" spans="1:8" x14ac:dyDescent="0.25">
      <c r="A50" s="317"/>
      <c r="B50" s="754" t="s">
        <v>478</v>
      </c>
      <c r="C50" s="766">
        <f>C45/SIN(RADIANS(C11))</f>
        <v>1380.8977244150749</v>
      </c>
      <c r="D50" s="754" t="s">
        <v>470</v>
      </c>
      <c r="E50" s="317"/>
      <c r="F50" s="317"/>
      <c r="G50" s="317"/>
      <c r="H50" s="317"/>
    </row>
    <row r="51" spans="1:8" x14ac:dyDescent="0.25">
      <c r="A51" s="317"/>
      <c r="B51" s="753" t="s">
        <v>479</v>
      </c>
      <c r="C51" s="765">
        <f>C46/SIN(RADIANS(C12))</f>
        <v>1937.3911809759068</v>
      </c>
      <c r="D51" s="753" t="s">
        <v>470</v>
      </c>
      <c r="E51" s="317"/>
      <c r="F51" s="317"/>
      <c r="G51" s="317"/>
      <c r="H51" s="317"/>
    </row>
    <row r="52" spans="1:8" x14ac:dyDescent="0.25">
      <c r="A52" s="317"/>
      <c r="B52" s="753" t="s">
        <v>480</v>
      </c>
      <c r="C52" s="765">
        <f>C47/SIN(RADIANS(C13))</f>
        <v>2817.292674817329</v>
      </c>
      <c r="D52" s="753" t="s">
        <v>470</v>
      </c>
      <c r="E52" s="317"/>
      <c r="F52" s="317"/>
      <c r="G52" s="317"/>
      <c r="H52" s="317"/>
    </row>
    <row r="53" spans="1:8" x14ac:dyDescent="0.25">
      <c r="A53" s="317"/>
      <c r="B53" s="753" t="s">
        <v>481</v>
      </c>
      <c r="C53" s="765">
        <f>C63</f>
        <v>1343.6468978457124</v>
      </c>
      <c r="D53" s="753" t="s">
        <v>470</v>
      </c>
      <c r="E53" s="317"/>
      <c r="F53" s="317"/>
      <c r="G53" s="317"/>
      <c r="H53" s="317"/>
    </row>
    <row r="54" spans="1:8" x14ac:dyDescent="0.25">
      <c r="A54" s="317"/>
      <c r="B54" s="753" t="s">
        <v>482</v>
      </c>
      <c r="C54" s="765">
        <f>C64</f>
        <v>3220.9443890816883</v>
      </c>
      <c r="D54" s="753" t="s">
        <v>470</v>
      </c>
      <c r="E54" s="317"/>
      <c r="F54" s="317"/>
      <c r="G54" s="317"/>
      <c r="H54" s="317"/>
    </row>
    <row r="55" spans="1:8" x14ac:dyDescent="0.25">
      <c r="A55" s="317"/>
      <c r="B55" s="760" t="s">
        <v>483</v>
      </c>
      <c r="C55" s="765">
        <f>C30*C37/(2*PI()*C9)</f>
        <v>2598.9124456900872</v>
      </c>
      <c r="D55" s="753" t="s">
        <v>470</v>
      </c>
      <c r="E55" s="317"/>
      <c r="F55" s="317"/>
      <c r="G55" s="317"/>
      <c r="H55" s="317"/>
    </row>
    <row r="56" spans="1:8" x14ac:dyDescent="0.25">
      <c r="A56" s="317"/>
      <c r="B56" s="760" t="s">
        <v>484</v>
      </c>
      <c r="C56" s="765">
        <f>C55*SIN(RADIANS(C14))/SIN(RADIANS(C10))</f>
        <v>1873.9940246263227</v>
      </c>
      <c r="D56" s="753" t="s">
        <v>470</v>
      </c>
      <c r="E56" s="317"/>
      <c r="F56" s="317"/>
      <c r="G56" s="317"/>
      <c r="H56" s="317"/>
    </row>
    <row r="57" spans="1:8" ht="13.8" thickBot="1" x14ac:dyDescent="0.3">
      <c r="A57" s="317"/>
      <c r="B57" s="317"/>
      <c r="C57" s="767"/>
      <c r="D57" s="317"/>
      <c r="E57" s="317"/>
      <c r="F57" s="317"/>
      <c r="G57" s="317"/>
      <c r="H57" s="317"/>
    </row>
    <row r="58" spans="1:8" ht="13.8" thickBot="1" x14ac:dyDescent="0.3">
      <c r="A58" s="317"/>
      <c r="B58" s="803" t="s">
        <v>485</v>
      </c>
      <c r="C58" s="804"/>
      <c r="D58" s="805"/>
      <c r="E58" s="317"/>
      <c r="F58" s="317"/>
      <c r="G58" s="317"/>
      <c r="H58" s="317"/>
    </row>
    <row r="59" spans="1:8" x14ac:dyDescent="0.25">
      <c r="A59" s="317"/>
      <c r="B59" s="754" t="s">
        <v>486</v>
      </c>
      <c r="C59" s="766">
        <f>C45</f>
        <v>318.57736769005737</v>
      </c>
      <c r="D59" s="754" t="s">
        <v>470</v>
      </c>
      <c r="E59" s="317"/>
      <c r="F59" s="317"/>
      <c r="G59" s="317"/>
      <c r="H59" s="317"/>
    </row>
    <row r="60" spans="1:8" x14ac:dyDescent="0.25">
      <c r="A60" s="317"/>
      <c r="B60" s="753" t="s">
        <v>487</v>
      </c>
      <c r="C60" s="765">
        <f>C46</f>
        <v>478.78880262839243</v>
      </c>
      <c r="D60" s="753" t="s">
        <v>470</v>
      </c>
      <c r="E60" s="317"/>
      <c r="F60" s="317"/>
      <c r="G60" s="317"/>
      <c r="H60" s="317"/>
    </row>
    <row r="61" spans="1:8" ht="13.8" thickBot="1" x14ac:dyDescent="0.3">
      <c r="A61" s="317"/>
      <c r="B61" s="317"/>
      <c r="C61" s="767"/>
      <c r="D61" s="317"/>
      <c r="E61" s="317"/>
      <c r="F61" s="317"/>
      <c r="G61" s="317"/>
      <c r="H61" s="317"/>
    </row>
    <row r="62" spans="1:8" ht="13.8" thickBot="1" x14ac:dyDescent="0.3">
      <c r="A62" s="317"/>
      <c r="B62" s="803" t="s">
        <v>488</v>
      </c>
      <c r="C62" s="804"/>
      <c r="D62" s="805"/>
      <c r="E62" s="317"/>
      <c r="F62" s="317"/>
      <c r="G62" s="317"/>
      <c r="H62" s="317"/>
    </row>
    <row r="63" spans="1:8" x14ac:dyDescent="0.25">
      <c r="A63" s="317"/>
      <c r="B63" s="754" t="s">
        <v>489</v>
      </c>
      <c r="C63" s="766">
        <f>C50*COS(RADIANS(C11))</f>
        <v>1343.6468978457124</v>
      </c>
      <c r="D63" s="754" t="s">
        <v>470</v>
      </c>
      <c r="E63" s="317"/>
      <c r="F63" s="317"/>
      <c r="G63" s="317"/>
      <c r="H63" s="317"/>
    </row>
    <row r="64" spans="1:8" x14ac:dyDescent="0.25">
      <c r="A64" s="317"/>
      <c r="B64" s="753" t="s">
        <v>490</v>
      </c>
      <c r="C64" s="765">
        <f>C51*COS(RADIANS(C12))+C63</f>
        <v>3220.9443890816883</v>
      </c>
      <c r="D64" s="753" t="s">
        <v>470</v>
      </c>
      <c r="E64" s="317"/>
      <c r="F64" s="317"/>
      <c r="G64" s="317"/>
      <c r="H64" s="317"/>
    </row>
    <row r="65" spans="1:8" x14ac:dyDescent="0.25">
      <c r="A65" s="317"/>
      <c r="B65" s="753" t="s">
        <v>491</v>
      </c>
      <c r="C65" s="765">
        <f>C52*COS(RADIANS(C13))+C64</f>
        <v>5959.1304347826099</v>
      </c>
      <c r="D65" s="753" t="s">
        <v>470</v>
      </c>
      <c r="E65" s="317"/>
      <c r="F65" s="317"/>
      <c r="G65" s="317"/>
      <c r="H65" s="317"/>
    </row>
    <row r="66" spans="1:8" ht="13.8" thickBot="1" x14ac:dyDescent="0.3">
      <c r="A66" s="317"/>
      <c r="B66" s="317"/>
      <c r="C66" s="317"/>
      <c r="D66" s="317"/>
      <c r="E66" s="317"/>
      <c r="F66" s="317"/>
      <c r="G66" s="317"/>
      <c r="H66" s="317"/>
    </row>
    <row r="67" spans="1:8" ht="13.8" thickBot="1" x14ac:dyDescent="0.3">
      <c r="A67" s="317"/>
      <c r="B67" s="803" t="s">
        <v>492</v>
      </c>
      <c r="C67" s="804"/>
      <c r="D67" s="805"/>
      <c r="E67" s="768"/>
      <c r="F67" s="768"/>
      <c r="G67" s="768"/>
      <c r="H67" s="768"/>
    </row>
    <row r="68" spans="1:8" x14ac:dyDescent="0.25">
      <c r="A68" s="317"/>
      <c r="B68" s="769" t="s">
        <v>493</v>
      </c>
      <c r="C68" s="755">
        <v>3</v>
      </c>
      <c r="D68" s="769" t="s">
        <v>440</v>
      </c>
      <c r="E68" s="317"/>
      <c r="F68" s="317"/>
      <c r="G68" s="317"/>
      <c r="H68" s="317"/>
    </row>
    <row r="69" spans="1:8" x14ac:dyDescent="0.25">
      <c r="A69" s="317"/>
      <c r="B69" s="317"/>
      <c r="C69" s="317"/>
      <c r="D69" s="317"/>
      <c r="E69" s="317"/>
      <c r="F69" s="317"/>
      <c r="G69" s="317"/>
      <c r="H69" s="317"/>
    </row>
    <row r="70" spans="1:8" x14ac:dyDescent="0.25">
      <c r="A70" s="317"/>
      <c r="B70" s="430" t="s">
        <v>494</v>
      </c>
      <c r="C70" s="753" t="s">
        <v>495</v>
      </c>
      <c r="D70" s="770" t="s">
        <v>496</v>
      </c>
      <c r="E70" s="753" t="s">
        <v>497</v>
      </c>
      <c r="F70" s="753" t="s">
        <v>498</v>
      </c>
      <c r="G70" s="753" t="s">
        <v>499</v>
      </c>
      <c r="H70" s="753" t="s">
        <v>500</v>
      </c>
    </row>
    <row r="71" spans="1:8" x14ac:dyDescent="0.25">
      <c r="A71" s="317"/>
      <c r="B71" s="771"/>
      <c r="C71" s="16" t="s">
        <v>470</v>
      </c>
      <c r="D71" s="58" t="s">
        <v>501</v>
      </c>
      <c r="E71" s="16" t="s">
        <v>470</v>
      </c>
      <c r="F71" s="16" t="s">
        <v>440</v>
      </c>
      <c r="G71" s="16" t="s">
        <v>470</v>
      </c>
      <c r="H71" s="16" t="s">
        <v>440</v>
      </c>
    </row>
    <row r="72" spans="1:8" x14ac:dyDescent="0.25">
      <c r="A72" s="317"/>
      <c r="B72" s="753" t="s">
        <v>502</v>
      </c>
      <c r="C72" s="765">
        <f>MAX(C50,C53)*$C$68</f>
        <v>4142.6931732452249</v>
      </c>
      <c r="D72" s="772">
        <v>8</v>
      </c>
      <c r="E72" s="753">
        <f>VLOOKUP(D72,Wire,2,0)</f>
        <v>4640</v>
      </c>
      <c r="F72" s="759">
        <f>E72/(MAX(C50,C53))</f>
        <v>3.3601329902729953</v>
      </c>
      <c r="G72" s="759">
        <f>VLOOKUP(D72,Wire,3,0)/100*2*(C15+C18+C19)</f>
        <v>15.794666160526349</v>
      </c>
      <c r="H72" s="773" t="str">
        <f>VLOOKUP(D72,Wire,5,0)</f>
        <v>S19-M08</v>
      </c>
    </row>
    <row r="73" spans="1:8" x14ac:dyDescent="0.25">
      <c r="A73" s="317"/>
      <c r="B73" s="754" t="s">
        <v>503</v>
      </c>
      <c r="C73" s="766">
        <f>C51*$C$68</f>
        <v>5812.1735429277205</v>
      </c>
      <c r="D73" s="756">
        <v>10</v>
      </c>
      <c r="E73" s="753">
        <f>VLOOKUP(D73,Wire,2,0)</f>
        <v>7250</v>
      </c>
      <c r="F73" s="759">
        <f>E73/C51</f>
        <v>3.7421456602006491</v>
      </c>
      <c r="G73" s="759">
        <f>VLOOKUP(D73,Wire,3,0)/100*2*(C16+C19)</f>
        <v>17.764209877113029</v>
      </c>
      <c r="H73" s="773" t="str">
        <f>VLOOKUP(D73,Wire,5,0)</f>
        <v>S19-M10</v>
      </c>
    </row>
    <row r="74" spans="1:8" x14ac:dyDescent="0.25">
      <c r="A74" s="317"/>
      <c r="B74" s="753" t="s">
        <v>504</v>
      </c>
      <c r="C74" s="765">
        <f>C52*$C$68</f>
        <v>8451.8780244519876</v>
      </c>
      <c r="D74" s="756">
        <v>12</v>
      </c>
      <c r="E74" s="753">
        <f>VLOOKUP(D74,Wire,2,0)</f>
        <v>10400</v>
      </c>
      <c r="F74" s="759">
        <f>E74/(C52)</f>
        <v>3.691487254044107</v>
      </c>
      <c r="G74" s="759">
        <f>VLOOKUP(D74,Wire,3,0)/100*2*C17</f>
        <v>13.742885848321668</v>
      </c>
      <c r="H74" s="773" t="str">
        <f>VLOOKUP(D74,Wire,5,0)</f>
        <v>S19-M12</v>
      </c>
    </row>
    <row r="75" spans="1:8" x14ac:dyDescent="0.25">
      <c r="A75" s="317"/>
      <c r="B75" s="760" t="s">
        <v>483</v>
      </c>
      <c r="C75" s="765">
        <f>C55*$C$68</f>
        <v>7796.7373370702617</v>
      </c>
      <c r="D75" s="756">
        <v>11</v>
      </c>
      <c r="E75" s="753">
        <f>VLOOKUP(D75,Wire,2,0)</f>
        <v>8770</v>
      </c>
      <c r="F75" s="759">
        <f>E75/C55</f>
        <v>3.3744884382479876</v>
      </c>
      <c r="G75" s="759">
        <f>VLOOKUP(D75,Wire,3,0)/100*2*C20</f>
        <v>30.625987234386415</v>
      </c>
      <c r="H75" s="773" t="str">
        <f>VLOOKUP(D75,Wire,5,0)</f>
        <v>S19-M11</v>
      </c>
    </row>
    <row r="76" spans="1:8" x14ac:dyDescent="0.25">
      <c r="A76" s="317"/>
      <c r="B76" s="760" t="s">
        <v>484</v>
      </c>
      <c r="C76" s="765">
        <f>C56*$C$68</f>
        <v>5621.9820738789676</v>
      </c>
      <c r="D76" s="756">
        <v>10</v>
      </c>
      <c r="E76" s="753">
        <f>VLOOKUP(D76,Wire,2,0)</f>
        <v>7250</v>
      </c>
      <c r="F76" s="759">
        <f>E76/C56</f>
        <v>3.8687423250699324</v>
      </c>
      <c r="G76" s="759">
        <f>VLOOKUP(D76,Wire,3,0)/100*2*C21</f>
        <v>26.080187774065266</v>
      </c>
      <c r="H76" s="773" t="str">
        <f>VLOOKUP(D76,Wire,5,0)</f>
        <v>S19-M10</v>
      </c>
    </row>
    <row r="77" spans="1:8" x14ac:dyDescent="0.25">
      <c r="A77" s="317"/>
      <c r="B77" s="769" t="s">
        <v>505</v>
      </c>
      <c r="C77" s="754" t="str">
        <f>IF(E72+E73&gt;=C84,"OK","Not OK")</f>
        <v>OK</v>
      </c>
      <c r="D77" s="317"/>
      <c r="E77" s="317"/>
      <c r="F77" s="317"/>
      <c r="G77" s="317"/>
      <c r="H77" s="774"/>
    </row>
    <row r="78" spans="1:8" x14ac:dyDescent="0.25">
      <c r="A78" s="317"/>
      <c r="B78" s="317"/>
      <c r="C78" s="317"/>
      <c r="D78" s="317"/>
      <c r="E78" s="317"/>
      <c r="F78" s="317"/>
      <c r="G78" s="317"/>
      <c r="H78" s="317"/>
    </row>
    <row r="79" spans="1:8" x14ac:dyDescent="0.25">
      <c r="A79" s="317"/>
      <c r="B79" s="430" t="s">
        <v>506</v>
      </c>
      <c r="C79" s="775" t="s">
        <v>495</v>
      </c>
      <c r="D79" s="770" t="s">
        <v>496</v>
      </c>
      <c r="E79" s="753" t="s">
        <v>497</v>
      </c>
      <c r="F79" s="753" t="s">
        <v>498</v>
      </c>
      <c r="G79" s="753" t="s">
        <v>499</v>
      </c>
      <c r="H79" s="753" t="s">
        <v>500</v>
      </c>
    </row>
    <row r="80" spans="1:8" x14ac:dyDescent="0.25">
      <c r="A80" s="317"/>
      <c r="B80" s="771"/>
      <c r="C80" s="16" t="s">
        <v>470</v>
      </c>
      <c r="D80" s="58" t="s">
        <v>501</v>
      </c>
      <c r="E80" s="16" t="s">
        <v>470</v>
      </c>
      <c r="F80" s="16" t="s">
        <v>440</v>
      </c>
      <c r="G80" s="16" t="s">
        <v>470</v>
      </c>
      <c r="H80" s="16" t="s">
        <v>440</v>
      </c>
    </row>
    <row r="81" spans="1:8" x14ac:dyDescent="0.25">
      <c r="A81" s="317"/>
      <c r="B81" s="753" t="s">
        <v>507</v>
      </c>
      <c r="C81" s="766">
        <f>C50*$C$68</f>
        <v>4142.6931732452249</v>
      </c>
      <c r="D81" s="756">
        <v>8</v>
      </c>
      <c r="E81" s="753">
        <f>VLOOKUP(D81,Wire,2,0)</f>
        <v>4640</v>
      </c>
      <c r="F81" s="759">
        <f>E81/(C50)</f>
        <v>3.3601329902729953</v>
      </c>
      <c r="G81" s="759">
        <f>VLOOKUP(D81,Wire,3,0)/100*2*(C15+C18)</f>
        <v>9.8659272592084637</v>
      </c>
      <c r="H81" s="773" t="str">
        <f>VLOOKUP(D81,Wire,5,0)</f>
        <v>S19-M08</v>
      </c>
    </row>
    <row r="82" spans="1:8" x14ac:dyDescent="0.25">
      <c r="A82" s="317"/>
      <c r="B82" s="753" t="s">
        <v>479</v>
      </c>
      <c r="C82" s="765">
        <f>C51*$C$68</f>
        <v>5812.1735429277205</v>
      </c>
      <c r="D82" s="756">
        <v>10</v>
      </c>
      <c r="E82" s="753">
        <f>VLOOKUP(D82,Wire,2,0)</f>
        <v>7250</v>
      </c>
      <c r="F82" s="759">
        <f>E82/(C51)</f>
        <v>3.7421456602006491</v>
      </c>
      <c r="G82" s="759">
        <f>VLOOKUP(D82,Wire,3,0)/100*2*C16</f>
        <v>8.4910541596671028</v>
      </c>
      <c r="H82" s="773" t="str">
        <f>VLOOKUP(D82,Wire,5,0)</f>
        <v>S19-M10</v>
      </c>
    </row>
    <row r="83" spans="1:8" x14ac:dyDescent="0.25">
      <c r="A83" s="317"/>
      <c r="B83" s="753" t="s">
        <v>480</v>
      </c>
      <c r="C83" s="765">
        <f>C52*$C$68</f>
        <v>8451.8780244519876</v>
      </c>
      <c r="D83" s="756">
        <v>12</v>
      </c>
      <c r="E83" s="753">
        <f>VLOOKUP(D83,Wire,2,0)</f>
        <v>10400</v>
      </c>
      <c r="F83" s="759">
        <f>E83/(C52)</f>
        <v>3.691487254044107</v>
      </c>
      <c r="G83" s="759">
        <f>VLOOKUP(D83,Wire,3,0)/100*2*C17</f>
        <v>13.742885848321668</v>
      </c>
      <c r="H83" s="773" t="str">
        <f>VLOOKUP(D83,Wire,5,0)</f>
        <v>S19-M12</v>
      </c>
    </row>
    <row r="84" spans="1:8" x14ac:dyDescent="0.25">
      <c r="A84" s="317"/>
      <c r="B84" s="753" t="s">
        <v>482</v>
      </c>
      <c r="C84" s="765">
        <f>C54*$C$68</f>
        <v>9662.8331672450659</v>
      </c>
      <c r="D84" s="756">
        <v>14</v>
      </c>
      <c r="E84" s="753">
        <f>VLOOKUP(D84,Wire,2,0)</f>
        <v>14180</v>
      </c>
      <c r="F84" s="759">
        <f>E84/(C54)</f>
        <v>4.4024355242105893</v>
      </c>
      <c r="G84" s="759">
        <f>VLOOKUP(D84,Wire,3,0)/100*2*C19</f>
        <v>18.185266437696207</v>
      </c>
      <c r="H84" s="773" t="str">
        <f>VLOOKUP(D84,Wire,5,0)</f>
        <v>S19-M14</v>
      </c>
    </row>
    <row r="85" spans="1:8" ht="13.8" thickBot="1" x14ac:dyDescent="0.3">
      <c r="A85" s="317"/>
      <c r="B85" s="317"/>
      <c r="C85" s="317"/>
      <c r="D85" s="317"/>
      <c r="E85" s="317"/>
      <c r="F85" s="317"/>
      <c r="G85" s="317"/>
      <c r="H85" s="317"/>
    </row>
    <row r="86" spans="1:8" ht="13.8" thickBot="1" x14ac:dyDescent="0.3">
      <c r="A86" s="317"/>
      <c r="B86" s="800" t="s">
        <v>508</v>
      </c>
      <c r="C86" s="801"/>
      <c r="D86" s="802"/>
      <c r="E86" s="317"/>
      <c r="F86" s="317"/>
      <c r="G86" s="317"/>
      <c r="H86" s="317"/>
    </row>
    <row r="87" spans="1:8" x14ac:dyDescent="0.25">
      <c r="A87" s="317"/>
      <c r="B87" s="754" t="s">
        <v>334</v>
      </c>
      <c r="C87" s="755">
        <v>69</v>
      </c>
      <c r="D87" s="754" t="s">
        <v>509</v>
      </c>
      <c r="E87" s="317"/>
      <c r="F87" s="317"/>
      <c r="G87" s="317"/>
      <c r="H87" s="317"/>
    </row>
    <row r="88" spans="1:8" ht="15.6" x14ac:dyDescent="0.35">
      <c r="A88" s="317"/>
      <c r="B88" s="753" t="s">
        <v>510</v>
      </c>
      <c r="C88" s="756">
        <v>125</v>
      </c>
      <c r="D88" s="753" t="s">
        <v>511</v>
      </c>
      <c r="E88" s="317"/>
      <c r="F88" s="317"/>
      <c r="G88" s="317"/>
      <c r="H88" s="317"/>
    </row>
    <row r="89" spans="1:8" ht="15.6" x14ac:dyDescent="0.25">
      <c r="A89" s="317"/>
      <c r="B89" s="776" t="s">
        <v>512</v>
      </c>
      <c r="C89" s="777">
        <v>2700</v>
      </c>
      <c r="D89" s="776" t="s">
        <v>513</v>
      </c>
      <c r="E89" s="317"/>
      <c r="F89" s="317"/>
      <c r="G89" s="317"/>
      <c r="H89" s="317"/>
    </row>
    <row r="90" spans="1:8" ht="13.8" thickBot="1" x14ac:dyDescent="0.3">
      <c r="A90" s="317"/>
      <c r="B90" s="317"/>
      <c r="C90" s="317"/>
      <c r="D90" s="317"/>
      <c r="E90" s="317"/>
      <c r="F90" s="317"/>
      <c r="G90" s="317"/>
      <c r="H90" s="317"/>
    </row>
    <row r="91" spans="1:8" ht="13.8" thickBot="1" x14ac:dyDescent="0.3">
      <c r="A91" s="317"/>
      <c r="B91" s="800" t="s">
        <v>514</v>
      </c>
      <c r="C91" s="801"/>
      <c r="D91" s="802"/>
      <c r="E91" s="317"/>
      <c r="F91" s="317"/>
      <c r="G91" s="317"/>
      <c r="H91" s="317"/>
    </row>
    <row r="92" spans="1:8" x14ac:dyDescent="0.25">
      <c r="A92" s="317"/>
      <c r="B92" s="754" t="s">
        <v>515</v>
      </c>
      <c r="C92" s="755">
        <v>4</v>
      </c>
      <c r="D92" s="754" t="s">
        <v>440</v>
      </c>
      <c r="E92" s="317"/>
      <c r="F92" s="317"/>
      <c r="G92" s="317"/>
      <c r="H92" s="317"/>
    </row>
    <row r="93" spans="1:8" x14ac:dyDescent="0.25">
      <c r="A93" s="317"/>
      <c r="B93" s="753" t="s">
        <v>516</v>
      </c>
      <c r="C93" s="756">
        <v>1</v>
      </c>
      <c r="D93" s="753" t="s">
        <v>81</v>
      </c>
      <c r="E93" s="317"/>
      <c r="F93" s="317"/>
      <c r="G93" s="317"/>
      <c r="H93" s="317"/>
    </row>
    <row r="94" spans="1:8" x14ac:dyDescent="0.25">
      <c r="A94" s="317"/>
      <c r="B94" s="317"/>
      <c r="C94" s="317"/>
      <c r="D94" s="317"/>
      <c r="E94" s="317"/>
      <c r="F94" s="317"/>
      <c r="G94" s="317"/>
      <c r="H94" s="317"/>
    </row>
    <row r="95" spans="1:8" ht="15.6" x14ac:dyDescent="0.35">
      <c r="A95" s="317"/>
      <c r="B95" s="317"/>
      <c r="C95" s="753" t="s">
        <v>517</v>
      </c>
      <c r="D95" s="753" t="s">
        <v>518</v>
      </c>
      <c r="E95" s="753" t="s">
        <v>519</v>
      </c>
      <c r="F95" s="753" t="s">
        <v>520</v>
      </c>
      <c r="G95" s="317"/>
      <c r="H95" s="317"/>
    </row>
    <row r="96" spans="1:8" ht="15.6" x14ac:dyDescent="0.25">
      <c r="A96" s="317"/>
      <c r="B96" s="317"/>
      <c r="C96" s="16" t="s">
        <v>81</v>
      </c>
      <c r="D96" s="16" t="s">
        <v>521</v>
      </c>
      <c r="E96" s="16" t="s">
        <v>522</v>
      </c>
      <c r="F96" s="16" t="s">
        <v>522</v>
      </c>
      <c r="G96" s="317"/>
      <c r="H96" s="317"/>
    </row>
    <row r="97" spans="1:8" x14ac:dyDescent="0.25">
      <c r="A97" s="317"/>
      <c r="B97" s="753" t="s">
        <v>523</v>
      </c>
      <c r="C97" s="759">
        <f>C3</f>
        <v>7.17</v>
      </c>
      <c r="D97" s="765">
        <f>C63*$C$92*9.81/1000</f>
        <v>52.724704271465761</v>
      </c>
      <c r="E97" s="765">
        <f>D97*1000*C97^2/(PI()^2*$C$87*10^9)*10^8</f>
        <v>398.01883822097972</v>
      </c>
      <c r="F97" s="765">
        <f>D97*1000*C97^2/(1.5*PI()^2*$C$87*10^9)*10^8</f>
        <v>265.34589214731977</v>
      </c>
      <c r="G97" s="317"/>
      <c r="H97" s="317"/>
    </row>
    <row r="98" spans="1:8" x14ac:dyDescent="0.25">
      <c r="A98" s="317"/>
      <c r="B98" s="753" t="s">
        <v>524</v>
      </c>
      <c r="C98" s="759">
        <f>C4</f>
        <v>8.43</v>
      </c>
      <c r="D98" s="765">
        <f>C64*$C$92*9.81/1000</f>
        <v>126.38985782756546</v>
      </c>
      <c r="E98" s="765">
        <f>D98*1000*C98^2/(PI()^2*$C$87*10^9)*10^8</f>
        <v>1318.9202567122936</v>
      </c>
      <c r="F98" s="765">
        <f>D98*1000*C98^2/(1.5*PI()^2*$C$87*10^9)*10^8</f>
        <v>879.28017114152908</v>
      </c>
      <c r="G98" s="317"/>
      <c r="H98" s="317"/>
    </row>
    <row r="99" spans="1:8" x14ac:dyDescent="0.25">
      <c r="A99" s="317"/>
      <c r="B99" s="753" t="s">
        <v>525</v>
      </c>
      <c r="C99" s="759">
        <f>C5</f>
        <v>9.5</v>
      </c>
      <c r="D99" s="765">
        <f>C65*$C$92*9.81/1000</f>
        <v>233.83627826086962</v>
      </c>
      <c r="E99" s="765">
        <f>D99*1000*C99^2/(PI()^2*$C$87*10^9)*10^8</f>
        <v>3098.9192846303058</v>
      </c>
      <c r="F99" s="765">
        <f>D99*1000*C99^2/(1.5*PI()^2*$C$87*10^9)*10^8</f>
        <v>2065.9461897535371</v>
      </c>
      <c r="G99" s="317"/>
      <c r="H99" s="317"/>
    </row>
    <row r="100" spans="1:8" x14ac:dyDescent="0.25">
      <c r="A100" s="317"/>
      <c r="B100" s="317"/>
      <c r="C100" s="774"/>
      <c r="D100" s="317"/>
      <c r="E100" s="317"/>
      <c r="F100" s="317"/>
      <c r="G100" s="317"/>
      <c r="H100" s="317"/>
    </row>
    <row r="101" spans="1:8" ht="15.6" x14ac:dyDescent="0.35">
      <c r="A101" s="317"/>
      <c r="B101" s="753" t="s">
        <v>526</v>
      </c>
      <c r="C101" s="765">
        <f>MAX(E97:E99)</f>
        <v>3098.9192846303058</v>
      </c>
      <c r="D101" s="778" t="s">
        <v>522</v>
      </c>
      <c r="E101" s="317"/>
      <c r="F101" s="317"/>
      <c r="G101" s="317"/>
      <c r="H101" s="317"/>
    </row>
    <row r="102" spans="1:8" ht="15.6" x14ac:dyDescent="0.35">
      <c r="A102" s="317"/>
      <c r="B102" s="753" t="s">
        <v>527</v>
      </c>
      <c r="C102" s="765">
        <f>MAX(F97:F99)</f>
        <v>2065.9461897535371</v>
      </c>
      <c r="D102" s="778" t="s">
        <v>522</v>
      </c>
      <c r="E102" s="317"/>
      <c r="F102" s="317"/>
      <c r="G102" s="317"/>
      <c r="H102" s="317"/>
    </row>
    <row r="103" spans="1:8" x14ac:dyDescent="0.25">
      <c r="A103" s="317"/>
      <c r="B103" s="753" t="s">
        <v>528</v>
      </c>
      <c r="C103" s="753">
        <f>LOOKUP(MAX($E$97:$E$99),$E$97:$E$99,C97:C99)</f>
        <v>9.5</v>
      </c>
      <c r="D103" s="753" t="s">
        <v>81</v>
      </c>
      <c r="E103" s="317"/>
      <c r="F103" s="317"/>
      <c r="G103" s="317"/>
      <c r="H103" s="317"/>
    </row>
    <row r="104" spans="1:8" x14ac:dyDescent="0.25">
      <c r="A104" s="317"/>
      <c r="B104" s="753" t="s">
        <v>529</v>
      </c>
      <c r="C104" s="765">
        <f>LOOKUP(MAX($E$97:$E$99),$E$97:$E$99,D97:D99)</f>
        <v>233.83627826086962</v>
      </c>
      <c r="D104" s="753" t="s">
        <v>521</v>
      </c>
      <c r="E104" s="317"/>
      <c r="F104" s="317"/>
      <c r="G104" s="317"/>
      <c r="H104" s="317"/>
    </row>
    <row r="105" spans="1:8" x14ac:dyDescent="0.25">
      <c r="A105" s="317"/>
      <c r="B105" s="317"/>
      <c r="C105" s="317"/>
      <c r="D105" s="317"/>
      <c r="E105" s="317"/>
      <c r="F105" s="317"/>
      <c r="G105" s="317"/>
      <c r="H105" s="317"/>
    </row>
    <row r="106" spans="1:8" x14ac:dyDescent="0.25">
      <c r="A106" s="317"/>
      <c r="B106" s="317"/>
      <c r="C106" s="753" t="s">
        <v>530</v>
      </c>
      <c r="D106" s="753" t="s">
        <v>531</v>
      </c>
      <c r="E106" s="753" t="s">
        <v>499</v>
      </c>
      <c r="F106" s="753" t="s">
        <v>500</v>
      </c>
      <c r="G106" s="317"/>
      <c r="H106" s="317"/>
    </row>
    <row r="107" spans="1:8" ht="15.6" x14ac:dyDescent="0.25">
      <c r="A107" s="317"/>
      <c r="B107" s="317"/>
      <c r="C107" s="16" t="s">
        <v>522</v>
      </c>
      <c r="D107" s="16" t="s">
        <v>440</v>
      </c>
      <c r="E107" s="16" t="s">
        <v>470</v>
      </c>
      <c r="F107" s="16" t="s">
        <v>440</v>
      </c>
      <c r="G107" s="317"/>
      <c r="H107" s="317"/>
    </row>
    <row r="108" spans="1:8" x14ac:dyDescent="0.25">
      <c r="A108" s="317"/>
      <c r="B108" s="753" t="s">
        <v>532</v>
      </c>
      <c r="C108" s="756">
        <v>3161</v>
      </c>
      <c r="D108" s="759">
        <f>(PI()^2*$C$87*10^9*(C108/10^8)/$C$103^2)/($C$104*1000/$C$92)</f>
        <v>4.0801320843399767</v>
      </c>
      <c r="E108" s="753">
        <f>VLOOKUP(C108,masts,3,0)*C24</f>
        <v>389.20499999999998</v>
      </c>
      <c r="F108" s="773" t="str">
        <f>VLOOKUP(C108,masts,5,0)</f>
        <v>C365</v>
      </c>
      <c r="G108" s="317"/>
      <c r="H108" s="317"/>
    </row>
    <row r="109" spans="1:8" x14ac:dyDescent="0.25">
      <c r="A109" s="317"/>
      <c r="B109" s="753" t="s">
        <v>533</v>
      </c>
      <c r="C109" s="756">
        <v>2056</v>
      </c>
      <c r="D109" s="759">
        <f>(1.5*PI()^2*$C$87*10^9*(C109/10^8)/$C$103^2)/($C$104*1000/$C$92)</f>
        <v>3.9807425966796872</v>
      </c>
      <c r="E109" s="753">
        <f>VLOOKUP(C109,masts,3,0)*(C24+C93)</f>
        <v>340.9966</v>
      </c>
      <c r="F109" s="773" t="str">
        <f>VLOOKUP(C109,masts,5,0)</f>
        <v>C321</v>
      </c>
      <c r="G109" s="317"/>
      <c r="H109" s="317"/>
    </row>
    <row r="110" spans="1:8" ht="13.8" thickBot="1" x14ac:dyDescent="0.3">
      <c r="A110" s="317"/>
      <c r="B110" s="317"/>
      <c r="C110" s="317"/>
      <c r="D110" s="317"/>
      <c r="E110" s="317"/>
      <c r="F110" s="317"/>
      <c r="G110" s="317"/>
      <c r="H110" s="317"/>
    </row>
    <row r="111" spans="1:8" ht="13.8" thickBot="1" x14ac:dyDescent="0.3">
      <c r="A111" s="317"/>
      <c r="B111" s="800" t="s">
        <v>534</v>
      </c>
      <c r="C111" s="801"/>
      <c r="D111" s="802"/>
      <c r="E111" s="317"/>
      <c r="F111" s="317"/>
      <c r="G111" s="317"/>
      <c r="H111" s="317"/>
    </row>
    <row r="112" spans="1:8" x14ac:dyDescent="0.25">
      <c r="A112" s="317"/>
      <c r="B112" s="754" t="s">
        <v>535</v>
      </c>
      <c r="C112" s="755">
        <v>3</v>
      </c>
      <c r="D112" s="754" t="s">
        <v>440</v>
      </c>
      <c r="E112" s="317"/>
      <c r="F112" s="317"/>
      <c r="G112" s="317"/>
      <c r="H112" s="317"/>
    </row>
    <row r="113" spans="1:8" x14ac:dyDescent="0.25">
      <c r="A113" s="317"/>
      <c r="B113" s="753" t="s">
        <v>536</v>
      </c>
      <c r="C113" s="756">
        <v>2</v>
      </c>
      <c r="D113" s="753" t="s">
        <v>440</v>
      </c>
      <c r="E113" s="317"/>
      <c r="F113" s="317"/>
      <c r="G113" s="317"/>
      <c r="H113" s="317"/>
    </row>
    <row r="114" spans="1:8" x14ac:dyDescent="0.25">
      <c r="A114" s="317"/>
      <c r="B114" s="753" t="s">
        <v>537</v>
      </c>
      <c r="C114" s="757">
        <v>0.03</v>
      </c>
      <c r="D114" s="753" t="s">
        <v>440</v>
      </c>
      <c r="E114" s="317"/>
      <c r="F114" s="317"/>
      <c r="G114" s="317"/>
      <c r="H114" s="317"/>
    </row>
    <row r="115" spans="1:8" x14ac:dyDescent="0.25">
      <c r="A115" s="317"/>
      <c r="B115" s="317"/>
      <c r="C115" s="317"/>
      <c r="D115" s="317"/>
      <c r="E115" s="317"/>
      <c r="F115" s="317"/>
      <c r="G115" s="317"/>
      <c r="H115" s="317"/>
    </row>
    <row r="116" spans="1:8" x14ac:dyDescent="0.25">
      <c r="A116" s="317"/>
      <c r="B116" s="2"/>
      <c r="C116" s="753" t="s">
        <v>538</v>
      </c>
      <c r="D116" s="779" t="s">
        <v>517</v>
      </c>
      <c r="E116" s="753" t="s">
        <v>539</v>
      </c>
      <c r="F116" s="753" t="s">
        <v>540</v>
      </c>
      <c r="G116" s="753" t="s">
        <v>541</v>
      </c>
    </row>
    <row r="117" spans="1:8" ht="15.6" x14ac:dyDescent="0.25">
      <c r="A117" s="317"/>
      <c r="B117" s="2"/>
      <c r="C117" s="16" t="s">
        <v>522</v>
      </c>
      <c r="D117" s="780" t="s">
        <v>501</v>
      </c>
      <c r="E117" s="16" t="s">
        <v>501</v>
      </c>
      <c r="F117" s="16" t="s">
        <v>501</v>
      </c>
      <c r="G117" s="16" t="s">
        <v>470</v>
      </c>
    </row>
    <row r="118" spans="1:8" x14ac:dyDescent="0.25">
      <c r="A118" s="317"/>
      <c r="B118" s="753" t="s">
        <v>542</v>
      </c>
      <c r="C118" s="781">
        <f>($C$112*C59*9.81*C6^2/(PI()^2*$C$87*10^9))*10^8</f>
        <v>3.9788190464889421</v>
      </c>
      <c r="D118" s="765">
        <f>(64*(C118/10^8)/(PI()*((1/$C$113)^3-((1-2*$C$114)*((1/$C$113)-2*$C$114)^3))))^(1/4)*10^3</f>
        <v>65.173211326236498</v>
      </c>
      <c r="E118" s="765">
        <f>D118/$C$113</f>
        <v>32.586605663118249</v>
      </c>
      <c r="F118" s="759">
        <f>D118*$C$114</f>
        <v>1.9551963397870948</v>
      </c>
      <c r="G118" s="759">
        <f>(2*PI()*(D118*E118-(D118-2*F118)*(E118-2*F118))/10^6)*C6*$C$89</f>
        <v>10.583871003643045</v>
      </c>
    </row>
    <row r="119" spans="1:8" x14ac:dyDescent="0.25">
      <c r="A119" s="317"/>
      <c r="B119" s="753" t="s">
        <v>543</v>
      </c>
      <c r="C119" s="781">
        <f>($C$112*C60*9.81*C7^2/(PI()^2*$C$87*10^9))*10^8</f>
        <v>9.5645013075712768</v>
      </c>
      <c r="D119" s="765">
        <f>(64*(C119/10^8)/(PI()*((1/$C$113)^3-((1-2*$C$114)*((1/$C$113)-2*$C$114)^3))))^(1/4)*10^3</f>
        <v>81.151426148595093</v>
      </c>
      <c r="E119" s="765">
        <f>D119/$C$113</f>
        <v>40.575713074297546</v>
      </c>
      <c r="F119" s="759">
        <f>D119*$C$114</f>
        <v>2.4345427844578529</v>
      </c>
      <c r="G119" s="759">
        <f>(2*PI()*(D119*E119-(D119-2*F119)*(E119-2*F119))/10^6)*C7*$C$89</f>
        <v>20.753347012435942</v>
      </c>
    </row>
    <row r="120" spans="1:8" ht="13.8" thickBot="1" x14ac:dyDescent="0.3">
      <c r="A120" s="317"/>
      <c r="B120" s="317"/>
      <c r="C120" s="317"/>
      <c r="D120" s="317"/>
      <c r="E120" s="317"/>
      <c r="F120" s="317"/>
      <c r="G120" s="317"/>
      <c r="H120" s="317"/>
    </row>
    <row r="121" spans="1:8" ht="13.8" thickBot="1" x14ac:dyDescent="0.3">
      <c r="A121" s="317"/>
      <c r="B121" s="800" t="s">
        <v>544</v>
      </c>
      <c r="C121" s="802"/>
      <c r="D121" s="317"/>
      <c r="E121" s="317"/>
      <c r="F121" s="317"/>
      <c r="G121" s="317"/>
      <c r="H121" s="317"/>
    </row>
    <row r="122" spans="1:8" x14ac:dyDescent="0.25">
      <c r="A122" s="317"/>
      <c r="B122" s="754" t="s">
        <v>545</v>
      </c>
      <c r="C122" s="755" t="s">
        <v>506</v>
      </c>
      <c r="D122" s="317"/>
      <c r="E122" s="317"/>
      <c r="F122" s="317"/>
      <c r="G122" s="317"/>
      <c r="H122" s="317"/>
    </row>
    <row r="123" spans="1:8" x14ac:dyDescent="0.25">
      <c r="A123" s="317"/>
      <c r="B123" s="753" t="s">
        <v>546</v>
      </c>
      <c r="C123" s="756" t="s">
        <v>532</v>
      </c>
      <c r="D123" s="317"/>
      <c r="E123" s="317"/>
      <c r="F123" s="317"/>
      <c r="G123" s="317"/>
      <c r="H123" s="317"/>
    </row>
    <row r="124" spans="1:8" x14ac:dyDescent="0.25">
      <c r="A124" s="317"/>
      <c r="B124" s="317"/>
      <c r="C124" s="317"/>
      <c r="D124" s="317"/>
      <c r="E124" s="317"/>
      <c r="F124" s="317"/>
      <c r="G124" s="317"/>
      <c r="H124" s="317"/>
    </row>
    <row r="125" spans="1:8" x14ac:dyDescent="0.25">
      <c r="A125" s="317"/>
      <c r="B125" s="317"/>
      <c r="C125" s="753" t="s">
        <v>499</v>
      </c>
      <c r="D125" s="753" t="s">
        <v>328</v>
      </c>
      <c r="E125" s="753" t="s">
        <v>547</v>
      </c>
      <c r="F125" s="317"/>
      <c r="G125" s="317"/>
      <c r="H125" s="317"/>
    </row>
    <row r="126" spans="1:8" x14ac:dyDescent="0.25">
      <c r="A126" s="317"/>
      <c r="B126" s="317"/>
      <c r="C126" s="16" t="s">
        <v>470</v>
      </c>
      <c r="D126" s="16" t="s">
        <v>81</v>
      </c>
      <c r="E126" s="16" t="s">
        <v>463</v>
      </c>
      <c r="F126" s="317"/>
      <c r="G126" s="317"/>
      <c r="H126" s="317"/>
    </row>
    <row r="127" spans="1:8" x14ac:dyDescent="0.25">
      <c r="A127" s="317"/>
      <c r="B127" s="753" t="s">
        <v>548</v>
      </c>
      <c r="C127" s="759">
        <f>G118</f>
        <v>10.583871003643045</v>
      </c>
      <c r="D127" s="753">
        <f>C5+C4</f>
        <v>17.93</v>
      </c>
      <c r="E127" s="759">
        <f>D127*C127</f>
        <v>189.7688070953198</v>
      </c>
      <c r="F127" s="317"/>
      <c r="G127" s="317"/>
      <c r="H127" s="317"/>
    </row>
    <row r="128" spans="1:8" x14ac:dyDescent="0.25">
      <c r="A128" s="317"/>
      <c r="B128" s="753" t="s">
        <v>549</v>
      </c>
      <c r="C128" s="759">
        <f>G119</f>
        <v>20.753347012435942</v>
      </c>
      <c r="D128" s="753">
        <f>C5</f>
        <v>9.5</v>
      </c>
      <c r="E128" s="759">
        <f t="shared" ref="E128:E135" si="0">D128*C128</f>
        <v>197.15679661814144</v>
      </c>
      <c r="F128" s="317"/>
      <c r="G128" s="774"/>
      <c r="H128" s="317"/>
    </row>
    <row r="129" spans="1:8" x14ac:dyDescent="0.25">
      <c r="A129" s="317"/>
      <c r="B129" s="753" t="s">
        <v>550</v>
      </c>
      <c r="C129" s="759">
        <f>IF(C123=B108,E108,0)+IF(C123=B109,E109,0)</f>
        <v>389.20499999999998</v>
      </c>
      <c r="D129" s="753">
        <f>IF(C123=B108,SUM(C3:C5)/2,0)+IF(C123=B109,SUM(C3:C5,C93)/2-C93,0)</f>
        <v>12.55</v>
      </c>
      <c r="E129" s="759">
        <f t="shared" si="0"/>
        <v>4884.5227500000001</v>
      </c>
      <c r="F129" s="317"/>
      <c r="G129" s="317"/>
      <c r="H129" s="317"/>
    </row>
    <row r="130" spans="1:8" x14ac:dyDescent="0.25">
      <c r="A130" s="317"/>
      <c r="B130" s="753" t="str">
        <f>IF($C$122=$B$70,B72,IF($C$122=$B$79,B81,IF($C$122=0," "," ")))</f>
        <v>D3/V2</v>
      </c>
      <c r="C130" s="759">
        <f>IF($C$122=$B$70,G72,0)+IF($C$122=$B$79,G81,0)</f>
        <v>9.8659272592084637</v>
      </c>
      <c r="D130" s="759">
        <f>IF($C$122=$B$70,SUM(C3:C5)/2,0)+IF($C$122=$B$79,C5+(C4+C3)/2,0)</f>
        <v>17.3</v>
      </c>
      <c r="E130" s="759">
        <f t="shared" si="0"/>
        <v>170.68054158430644</v>
      </c>
      <c r="F130" s="317"/>
      <c r="G130" s="317"/>
      <c r="H130" s="317"/>
    </row>
    <row r="131" spans="1:8" x14ac:dyDescent="0.25">
      <c r="A131" s="317"/>
      <c r="B131" s="753" t="str">
        <f>IF($C$122=$B$70,B73,IF($C$122=$B$79,B82,IF($C$122=0," "," ")))</f>
        <v>D2</v>
      </c>
      <c r="C131" s="759">
        <f>IF($C$122=$B$70,G73,0)+IF($C$122=$B$79,G82,0)</f>
        <v>8.4910541596671028</v>
      </c>
      <c r="D131" s="759">
        <f>IF($C$122=$B$70,SUM(C4:C5)/2,0)+IF($C$122=$B$79,C5+C4/2,0)</f>
        <v>13.715</v>
      </c>
      <c r="E131" s="759">
        <f t="shared" si="0"/>
        <v>116.45480779983431</v>
      </c>
      <c r="F131" s="317"/>
      <c r="G131" s="317"/>
      <c r="H131" s="317"/>
    </row>
    <row r="132" spans="1:8" x14ac:dyDescent="0.25">
      <c r="A132" s="317"/>
      <c r="B132" s="753" t="str">
        <f>IF($C$122=$B$70,B74,IF($C$122=$B$79,B83,IF($C$122=0," "," ")))</f>
        <v>D1</v>
      </c>
      <c r="C132" s="759">
        <f>IF($C$122=$B$70,G74,0)+IF($C$122=$B$79,G83,0)</f>
        <v>13.742885848321668</v>
      </c>
      <c r="D132" s="759">
        <f>C5/2</f>
        <v>4.75</v>
      </c>
      <c r="E132" s="759">
        <f t="shared" si="0"/>
        <v>65.27870777952792</v>
      </c>
      <c r="F132" s="317"/>
      <c r="G132" s="317"/>
      <c r="H132" s="317"/>
    </row>
    <row r="133" spans="1:8" x14ac:dyDescent="0.25">
      <c r="A133" s="317"/>
      <c r="B133" s="753" t="str">
        <f>IF($C$122=$B$70,"NA",IF($C$122=$B$79,B84,IF($C$122=0," "," ")))</f>
        <v>V1</v>
      </c>
      <c r="C133" s="759">
        <f>IF($C$122=$B$70,0,0)+IF($C$122=$B$79,G84,0)</f>
        <v>18.185266437696207</v>
      </c>
      <c r="D133" s="759">
        <f>IF($C$122=$B$70,0,0)+IF($C$122=$B$79,D132,0)</f>
        <v>4.75</v>
      </c>
      <c r="E133" s="759">
        <f t="shared" si="0"/>
        <v>86.380015579056987</v>
      </c>
      <c r="F133" s="317"/>
      <c r="G133" s="317"/>
      <c r="H133" s="317"/>
    </row>
    <row r="134" spans="1:8" x14ac:dyDescent="0.25">
      <c r="A134" s="317"/>
      <c r="B134" s="753" t="str">
        <f>B75</f>
        <v>Forestay</v>
      </c>
      <c r="C134" s="759">
        <f>G75</f>
        <v>30.625987234386415</v>
      </c>
      <c r="D134" s="759">
        <f>C24/2</f>
        <v>12.555</v>
      </c>
      <c r="E134" s="759">
        <f t="shared" si="0"/>
        <v>384.5092697277214</v>
      </c>
      <c r="F134" s="317"/>
      <c r="G134" s="317"/>
      <c r="H134" s="317"/>
    </row>
    <row r="135" spans="1:8" x14ac:dyDescent="0.25">
      <c r="A135" s="317"/>
      <c r="B135" s="753" t="str">
        <f>B76</f>
        <v>Backstay</v>
      </c>
      <c r="C135" s="759">
        <f>G76</f>
        <v>26.080187774065266</v>
      </c>
      <c r="D135" s="759">
        <f>C24/2</f>
        <v>12.555</v>
      </c>
      <c r="E135" s="759">
        <f t="shared" si="0"/>
        <v>327.4367575033894</v>
      </c>
      <c r="F135" s="317"/>
      <c r="G135" s="317"/>
      <c r="H135" s="317"/>
    </row>
    <row r="136" spans="1:8" x14ac:dyDescent="0.25">
      <c r="A136" s="317"/>
      <c r="B136" s="753" t="s">
        <v>551</v>
      </c>
      <c r="C136" s="759">
        <f>SUM(C127:C135)</f>
        <v>527.53352672942412</v>
      </c>
      <c r="D136" s="781">
        <f>E136/C136</f>
        <v>12.173991089255045</v>
      </c>
      <c r="E136" s="759">
        <f>SUM(E127:E135)</f>
        <v>6422.1884536872976</v>
      </c>
      <c r="F136" s="317"/>
      <c r="G136" s="317">
        <f>D136/C24</f>
        <v>0.48482640737773974</v>
      </c>
      <c r="H136" s="317"/>
    </row>
    <row r="137" spans="1:8" x14ac:dyDescent="0.25">
      <c r="A137" s="317"/>
      <c r="B137" s="753" t="s">
        <v>552</v>
      </c>
      <c r="C137" s="759">
        <f>C136*1.1</f>
        <v>580.28687940236659</v>
      </c>
      <c r="D137" s="317"/>
      <c r="E137" s="317"/>
      <c r="F137" s="317"/>
      <c r="G137" s="317"/>
      <c r="H137" s="317"/>
    </row>
    <row r="138" spans="1:8" x14ac:dyDescent="0.25">
      <c r="A138" s="317"/>
      <c r="B138" s="317" t="s">
        <v>553</v>
      </c>
      <c r="C138" s="317"/>
      <c r="D138" s="317"/>
      <c r="E138" s="317"/>
      <c r="F138" s="317"/>
      <c r="G138" s="317"/>
      <c r="H138" s="317"/>
    </row>
  </sheetData>
  <mergeCells count="14">
    <mergeCell ref="B44:D44"/>
    <mergeCell ref="B2:D2"/>
    <mergeCell ref="B23:D23"/>
    <mergeCell ref="B33:D33"/>
    <mergeCell ref="B36:D36"/>
    <mergeCell ref="B40:D40"/>
    <mergeCell ref="B111:D111"/>
    <mergeCell ref="B121:C121"/>
    <mergeCell ref="B49:D49"/>
    <mergeCell ref="B58:D58"/>
    <mergeCell ref="B62:D62"/>
    <mergeCell ref="B67:D67"/>
    <mergeCell ref="B86:D86"/>
    <mergeCell ref="B91:D91"/>
  </mergeCells>
  <conditionalFormatting sqref="C38">
    <cfRule type="cellIs" dxfId="5" priority="7" operator="notEqual">
      <formula>$C$34</formula>
    </cfRule>
    <cfRule type="cellIs" dxfId="4" priority="8" operator="equal">
      <formula>$C$34</formula>
    </cfRule>
  </conditionalFormatting>
  <conditionalFormatting sqref="F72:F76 F81:F84">
    <cfRule type="cellIs" dxfId="3" priority="5" operator="lessThan">
      <formula>$C$68</formula>
    </cfRule>
    <cfRule type="cellIs" dxfId="2" priority="6" operator="greaterThanOrEqual">
      <formula>$C$68</formula>
    </cfRule>
  </conditionalFormatting>
  <conditionalFormatting sqref="D108:D109">
    <cfRule type="cellIs" dxfId="1" priority="3" operator="lessThan">
      <formula>$C$92</formula>
    </cfRule>
    <cfRule type="cellIs" dxfId="0" priority="4" operator="greaterThanOrEqual">
      <formula>$C$92</formula>
    </cfRule>
  </conditionalFormatting>
  <dataValidations count="1">
    <dataValidation type="list" allowBlank="1" showInputMessage="1" showErrorMessage="1" sqref="C123">
      <formula1>$B$108:$B$109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3" r:id="rId4" name="Button 17">
              <controlPr defaultSize="0" print="0" autoFill="0" autoPict="0" macro="[0]!HMb">
                <anchor moveWithCells="1" sizeWithCells="1">
                  <from>
                    <xdr:col>4</xdr:col>
                    <xdr:colOff>441960</xdr:colOff>
                    <xdr:row>35</xdr:row>
                    <xdr:rowOff>121920</xdr:rowOff>
                  </from>
                  <to>
                    <xdr:col>5</xdr:col>
                    <xdr:colOff>533400</xdr:colOff>
                    <xdr:row>39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Data!$J$5:$J$15</xm:f>
          </x14:formula1>
          <xm:sqref>C108:C109</xm:sqref>
        </x14:dataValidation>
        <x14:dataValidation type="list" allowBlank="1" showInputMessage="1" showErrorMessage="1">
          <x14:formula1>
            <xm:f>Data!$R$3:$R$4</xm:f>
          </x14:formula1>
          <xm:sqref>C122</xm:sqref>
        </x14:dataValidation>
        <x14:dataValidation type="list" allowBlank="1" showInputMessage="1" showErrorMessage="1">
          <x14:formula1>
            <xm:f>Data!$B$5:$B$23</xm:f>
          </x14:formula1>
          <xm:sqref>D72:D76 D81:D84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E19"/>
  <sheetViews>
    <sheetView workbookViewId="0">
      <selection activeCell="K18" sqref="K18"/>
    </sheetView>
  </sheetViews>
  <sheetFormatPr defaultRowHeight="13.2" x14ac:dyDescent="0.25"/>
  <cols>
    <col min="2" max="2" width="20.6640625" customWidth="1"/>
  </cols>
  <sheetData>
    <row r="2" spans="2:5" x14ac:dyDescent="0.25">
      <c r="B2" s="729" t="s">
        <v>403</v>
      </c>
      <c r="C2" s="729" t="s">
        <v>404</v>
      </c>
      <c r="D2" s="729" t="s">
        <v>328</v>
      </c>
      <c r="E2" s="729"/>
    </row>
    <row r="3" spans="2:5" x14ac:dyDescent="0.25">
      <c r="B3" s="729" t="s">
        <v>405</v>
      </c>
      <c r="C3">
        <v>1588</v>
      </c>
      <c r="D3">
        <v>0.41</v>
      </c>
    </row>
    <row r="4" spans="2:5" x14ac:dyDescent="0.25">
      <c r="B4" s="729" t="s">
        <v>406</v>
      </c>
      <c r="C4">
        <v>28</v>
      </c>
      <c r="D4">
        <v>0.77</v>
      </c>
    </row>
    <row r="5" spans="2:5" x14ac:dyDescent="0.25">
      <c r="B5" s="729" t="s">
        <v>407</v>
      </c>
      <c r="C5">
        <v>135</v>
      </c>
      <c r="D5">
        <v>0.53</v>
      </c>
    </row>
    <row r="6" spans="2:5" x14ac:dyDescent="0.25">
      <c r="B6" s="729" t="s">
        <v>408</v>
      </c>
      <c r="C6">
        <v>191</v>
      </c>
      <c r="D6">
        <v>0.37</v>
      </c>
    </row>
    <row r="7" spans="2:5" x14ac:dyDescent="0.25">
      <c r="B7" s="729" t="s">
        <v>409</v>
      </c>
      <c r="C7">
        <v>71</v>
      </c>
      <c r="D7">
        <v>0.4</v>
      </c>
    </row>
    <row r="8" spans="2:5" x14ac:dyDescent="0.25">
      <c r="B8" s="729" t="s">
        <v>410</v>
      </c>
      <c r="C8">
        <v>132</v>
      </c>
      <c r="D8">
        <v>0.43</v>
      </c>
    </row>
    <row r="9" spans="2:5" x14ac:dyDescent="0.25">
      <c r="B9" s="729" t="s">
        <v>411</v>
      </c>
      <c r="C9">
        <v>106</v>
      </c>
      <c r="D9">
        <v>0.44</v>
      </c>
    </row>
    <row r="10" spans="2:5" x14ac:dyDescent="0.25">
      <c r="B10" s="729" t="s">
        <v>412</v>
      </c>
      <c r="C10">
        <v>114</v>
      </c>
      <c r="D10">
        <v>0.35</v>
      </c>
    </row>
    <row r="11" spans="2:5" x14ac:dyDescent="0.25">
      <c r="B11" s="729" t="s">
        <v>413</v>
      </c>
      <c r="C11">
        <v>83</v>
      </c>
      <c r="D11">
        <v>0.23</v>
      </c>
    </row>
    <row r="12" spans="2:5" x14ac:dyDescent="0.25">
      <c r="B12" s="729" t="s">
        <v>414</v>
      </c>
      <c r="C12">
        <v>725</v>
      </c>
      <c r="D12">
        <v>0.02</v>
      </c>
    </row>
    <row r="13" spans="2:5" x14ac:dyDescent="0.25">
      <c r="B13" s="729" t="s">
        <v>415</v>
      </c>
      <c r="C13">
        <v>398</v>
      </c>
      <c r="D13">
        <v>1.06</v>
      </c>
    </row>
    <row r="14" spans="2:5" x14ac:dyDescent="0.25">
      <c r="B14" s="729" t="s">
        <v>416</v>
      </c>
      <c r="C14">
        <v>0</v>
      </c>
      <c r="D14">
        <v>7.28</v>
      </c>
    </row>
    <row r="15" spans="2:5" x14ac:dyDescent="0.25">
      <c r="B15" s="729" t="s">
        <v>417</v>
      </c>
      <c r="C15">
        <v>980</v>
      </c>
      <c r="D15">
        <v>0.42</v>
      </c>
    </row>
    <row r="16" spans="2:5" x14ac:dyDescent="0.25">
      <c r="C16">
        <f>SUM(C3:C15)</f>
        <v>4551</v>
      </c>
      <c r="D16">
        <f t="array" ref="D16">SUM(C3:C15*D3:D15)/C16</f>
        <v>0.40730169193583821</v>
      </c>
    </row>
    <row r="18" spans="2:4" x14ac:dyDescent="0.25">
      <c r="B18" s="729" t="s">
        <v>418</v>
      </c>
      <c r="C18">
        <f>0.54+1.15</f>
        <v>1.69</v>
      </c>
    </row>
    <row r="19" spans="2:4" x14ac:dyDescent="0.25">
      <c r="B19" s="729" t="s">
        <v>328</v>
      </c>
      <c r="C19" s="732">
        <f>D16/C18</f>
        <v>0.24100691830522972</v>
      </c>
      <c r="D19" s="729" t="s">
        <v>419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BC62"/>
  <sheetViews>
    <sheetView zoomScale="80" zoomScaleNormal="80" workbookViewId="0">
      <selection activeCell="F3" sqref="F3"/>
    </sheetView>
  </sheetViews>
  <sheetFormatPr defaultRowHeight="13.2" x14ac:dyDescent="0.25"/>
  <cols>
    <col min="1" max="1" width="3.109375" customWidth="1"/>
    <col min="2" max="2" width="13" customWidth="1"/>
    <col min="3" max="3" width="14.88671875" customWidth="1"/>
    <col min="7" max="7" width="12.5546875" customWidth="1"/>
    <col min="8" max="8" width="13.88671875" customWidth="1"/>
    <col min="14" max="14" width="10.6640625" customWidth="1"/>
    <col min="15" max="15" width="11" customWidth="1"/>
    <col min="16" max="16" width="9.33203125" customWidth="1"/>
    <col min="24" max="28" width="0" hidden="1" customWidth="1"/>
    <col min="29" max="29" width="8.6640625" hidden="1" customWidth="1"/>
    <col min="30" max="32" width="8.6640625" customWidth="1"/>
    <col min="34" max="34" width="8.33203125" customWidth="1"/>
    <col min="38" max="38" width="7.33203125" customWidth="1"/>
    <col min="39" max="39" width="12.109375" customWidth="1"/>
  </cols>
  <sheetData>
    <row r="4" spans="2:43" ht="13.8" thickBot="1" x14ac:dyDescent="0.3"/>
    <row r="5" spans="2:43" ht="12.75" customHeight="1" x14ac:dyDescent="0.25">
      <c r="B5" s="809" t="s">
        <v>344</v>
      </c>
      <c r="C5" s="810"/>
      <c r="D5" s="816" t="s">
        <v>598</v>
      </c>
      <c r="G5" s="820" t="s">
        <v>383</v>
      </c>
      <c r="H5" s="821"/>
      <c r="I5" s="821"/>
      <c r="J5" s="821"/>
      <c r="K5" s="821"/>
      <c r="L5" s="821"/>
      <c r="M5" s="821"/>
      <c r="N5" s="821"/>
      <c r="O5" s="821"/>
      <c r="P5" s="821"/>
      <c r="Q5" s="821"/>
      <c r="R5" s="821"/>
      <c r="S5" s="821"/>
      <c r="T5" s="821"/>
      <c r="U5" s="822"/>
    </row>
    <row r="6" spans="2:43" ht="12.75" customHeight="1" x14ac:dyDescent="0.25">
      <c r="B6" s="811"/>
      <c r="C6" s="812"/>
      <c r="D6" s="817"/>
      <c r="G6" s="823"/>
      <c r="H6" s="824"/>
      <c r="I6" s="824"/>
      <c r="J6" s="824"/>
      <c r="K6" s="824"/>
      <c r="L6" s="824"/>
      <c r="M6" s="824"/>
      <c r="N6" s="824"/>
      <c r="O6" s="824"/>
      <c r="P6" s="824"/>
      <c r="Q6" s="824"/>
      <c r="R6" s="824"/>
      <c r="S6" s="824"/>
      <c r="T6" s="824"/>
      <c r="U6" s="825"/>
    </row>
    <row r="7" spans="2:43" ht="12.75" customHeight="1" thickBot="1" x14ac:dyDescent="0.3">
      <c r="B7" s="813"/>
      <c r="C7" s="814"/>
      <c r="D7" s="818"/>
      <c r="G7" s="826"/>
      <c r="H7" s="827"/>
      <c r="I7" s="827"/>
      <c r="J7" s="827"/>
      <c r="K7" s="827"/>
      <c r="L7" s="827"/>
      <c r="M7" s="827"/>
      <c r="N7" s="827"/>
      <c r="O7" s="827"/>
      <c r="P7" s="827"/>
      <c r="Q7" s="827"/>
      <c r="R7" s="827"/>
      <c r="S7" s="827"/>
      <c r="T7" s="827"/>
      <c r="U7" s="828"/>
    </row>
    <row r="8" spans="2:43" x14ac:dyDescent="0.25">
      <c r="B8" s="301"/>
      <c r="C8" s="7"/>
      <c r="D8" s="302"/>
      <c r="E8" s="1"/>
    </row>
    <row r="9" spans="2:43" ht="13.8" thickBot="1" x14ac:dyDescent="0.3">
      <c r="B9" s="3"/>
      <c r="C9" s="3"/>
      <c r="D9" s="3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2:43" ht="24" customHeight="1" thickBot="1" x14ac:dyDescent="0.3">
      <c r="B10" s="806" t="s">
        <v>315</v>
      </c>
      <c r="C10" s="807"/>
      <c r="D10" s="807"/>
      <c r="E10" s="807"/>
      <c r="F10" s="807"/>
      <c r="G10" s="807"/>
      <c r="H10" s="807"/>
      <c r="I10" s="807"/>
      <c r="J10" s="807"/>
      <c r="K10" s="829"/>
      <c r="L10" s="830"/>
      <c r="M10" s="815" t="s">
        <v>316</v>
      </c>
      <c r="N10" s="808"/>
      <c r="O10" s="454" t="s">
        <v>317</v>
      </c>
      <c r="P10" s="454" t="s">
        <v>318</v>
      </c>
      <c r="Q10" s="806" t="s">
        <v>389</v>
      </c>
      <c r="R10" s="807"/>
      <c r="S10" s="807"/>
      <c r="T10" s="807"/>
      <c r="U10" s="808"/>
      <c r="V10" s="806" t="s">
        <v>320</v>
      </c>
      <c r="W10" s="807"/>
      <c r="X10" s="829"/>
      <c r="Y10" s="829"/>
      <c r="Z10" s="829"/>
      <c r="AA10" s="829"/>
      <c r="AB10" s="829"/>
      <c r="AC10" s="829"/>
      <c r="AD10" s="829"/>
      <c r="AE10" s="829"/>
      <c r="AF10" s="830"/>
      <c r="AG10" s="806" t="s">
        <v>322</v>
      </c>
      <c r="AH10" s="807"/>
      <c r="AI10" s="807"/>
      <c r="AJ10" s="807"/>
      <c r="AK10" s="807"/>
      <c r="AL10" s="807"/>
      <c r="AM10" s="808"/>
    </row>
    <row r="11" spans="2:43" ht="55.8" thickBot="1" x14ac:dyDescent="0.3">
      <c r="B11" s="303" t="s">
        <v>346</v>
      </c>
      <c r="C11" s="407" t="s">
        <v>353</v>
      </c>
      <c r="D11" s="304" t="s">
        <v>18</v>
      </c>
      <c r="E11" s="305" t="s">
        <v>324</v>
      </c>
      <c r="F11" s="306" t="s">
        <v>325</v>
      </c>
      <c r="G11" s="306" t="s">
        <v>326</v>
      </c>
      <c r="H11" s="306" t="s">
        <v>327</v>
      </c>
      <c r="I11" s="306" t="s">
        <v>145</v>
      </c>
      <c r="J11" s="306" t="s">
        <v>158</v>
      </c>
      <c r="K11" s="408" t="s">
        <v>385</v>
      </c>
      <c r="L11" s="408" t="s">
        <v>386</v>
      </c>
      <c r="M11" s="406" t="s">
        <v>351</v>
      </c>
      <c r="N11" s="307" t="s">
        <v>392</v>
      </c>
      <c r="O11" s="397" t="s">
        <v>392</v>
      </c>
      <c r="P11" s="308" t="s">
        <v>329</v>
      </c>
      <c r="Q11" s="305" t="s">
        <v>4</v>
      </c>
      <c r="R11" s="306" t="s">
        <v>5</v>
      </c>
      <c r="S11" s="306" t="s">
        <v>6</v>
      </c>
      <c r="T11" s="306" t="s">
        <v>7</v>
      </c>
      <c r="U11" s="293" t="s">
        <v>8</v>
      </c>
      <c r="V11" s="305" t="s">
        <v>11</v>
      </c>
      <c r="W11" s="306" t="s">
        <v>330</v>
      </c>
      <c r="X11" s="306" t="s">
        <v>4</v>
      </c>
      <c r="Y11" s="306" t="s">
        <v>5</v>
      </c>
      <c r="Z11" s="292" t="s">
        <v>6</v>
      </c>
      <c r="AA11" s="292" t="s">
        <v>7</v>
      </c>
      <c r="AB11" s="292" t="s">
        <v>8</v>
      </c>
      <c r="AC11" s="310" t="s">
        <v>345</v>
      </c>
      <c r="AD11" s="408" t="s">
        <v>149</v>
      </c>
      <c r="AE11" s="408" t="s">
        <v>390</v>
      </c>
      <c r="AF11" s="310" t="s">
        <v>391</v>
      </c>
      <c r="AG11" s="305" t="s">
        <v>17</v>
      </c>
      <c r="AH11" s="306" t="s">
        <v>4</v>
      </c>
      <c r="AI11" s="306" t="s">
        <v>5</v>
      </c>
      <c r="AJ11" s="306" t="s">
        <v>6</v>
      </c>
      <c r="AK11" s="306" t="s">
        <v>7</v>
      </c>
      <c r="AL11" s="306" t="s">
        <v>8</v>
      </c>
      <c r="AM11" s="307" t="s">
        <v>23</v>
      </c>
      <c r="AN11" s="730"/>
      <c r="AO11" s="731" t="s">
        <v>162</v>
      </c>
      <c r="AP11" s="731" t="s">
        <v>401</v>
      </c>
      <c r="AQ11" s="731" t="s">
        <v>597</v>
      </c>
    </row>
    <row r="12" spans="2:43" x14ac:dyDescent="0.25">
      <c r="B12" s="417" t="s">
        <v>331</v>
      </c>
      <c r="C12" s="450">
        <v>17</v>
      </c>
      <c r="D12" s="440">
        <v>0.35</v>
      </c>
      <c r="E12" s="439">
        <v>16.75</v>
      </c>
      <c r="F12" s="451">
        <v>14.75</v>
      </c>
      <c r="G12" s="440">
        <v>4.5999999999999996</v>
      </c>
      <c r="H12" s="451">
        <v>0.85</v>
      </c>
      <c r="I12" s="451">
        <v>0.56000000000000005</v>
      </c>
      <c r="J12" s="451">
        <v>0.7</v>
      </c>
      <c r="K12" s="451">
        <v>53</v>
      </c>
      <c r="L12" s="606">
        <v>55</v>
      </c>
      <c r="M12" s="439">
        <f>Rig!$C$137-Rig!$C$129+(Data!$L$14*('Initial Rig Data'!F12+'Initial Boat Data'!AO12+'Initial Boat Data'!$C$53+'Initial Boat Data'!C54))</f>
        <v>531.25519847368741</v>
      </c>
      <c r="N12" s="441">
        <f>Rig!$G$136*'Initial Rig Data'!F12+'Initial Boat Data'!$C$53+'Initial Boat Data'!$C$54</f>
        <v>13.336668322694788</v>
      </c>
      <c r="O12" s="445">
        <f t="shared" ref="O12:O20" si="0">($C$53+AO12)*$C$55</f>
        <v>0.5455476931128096</v>
      </c>
      <c r="P12" s="438">
        <v>0</v>
      </c>
      <c r="Q12" s="439">
        <f>2*$C$57*'Initial Rig Data'!J12/('Initial Boat Data'!U12*('Initial Boat Data'!$C$61+1))</f>
        <v>2.1663575395262047</v>
      </c>
      <c r="R12" s="452">
        <v>0.12</v>
      </c>
      <c r="S12" s="440">
        <f t="shared" ref="S12:S20" si="1">Q12*$C$61</f>
        <v>1.9497217855735842</v>
      </c>
      <c r="T12" s="452">
        <v>0.1</v>
      </c>
      <c r="U12" s="441">
        <f>$C$56-AO12-AE12/1.5*AD12</f>
        <v>2.275248273679765</v>
      </c>
      <c r="V12" s="447">
        <f t="shared" ref="V12:V20" si="2">C12*1000*D12-$C$52</f>
        <v>5200</v>
      </c>
      <c r="W12" s="451">
        <v>11300</v>
      </c>
      <c r="X12" s="440"/>
      <c r="Y12" s="451"/>
      <c r="Z12" s="440"/>
      <c r="AA12" s="451"/>
      <c r="AB12" s="451"/>
      <c r="AC12" s="727"/>
      <c r="AD12" s="452">
        <v>2.78</v>
      </c>
      <c r="AE12" s="452">
        <v>0.26500000000000001</v>
      </c>
      <c r="AF12" s="606">
        <v>4.32</v>
      </c>
      <c r="AG12" s="439">
        <v>1</v>
      </c>
      <c r="AH12" s="451">
        <f>2*$C$58*'Initial Rig Data'!J12/(AL12*($C$59+1))</f>
        <v>1.1598045268498494</v>
      </c>
      <c r="AI12" s="440">
        <v>0.12</v>
      </c>
      <c r="AJ12" s="451">
        <f t="shared" ref="AJ12:AJ20" si="3">AH12*$C$59</f>
        <v>1.0438240741648646</v>
      </c>
      <c r="AK12" s="451">
        <v>0.1</v>
      </c>
      <c r="AL12" s="451">
        <f>($C$60*($C$58*'Initial Rig Data'!L12))^0.5</f>
        <v>1.9832657409132424</v>
      </c>
      <c r="AM12" s="441">
        <v>2400</v>
      </c>
      <c r="AN12">
        <f>U12^2/((Q12+S12)/2)</f>
        <v>2.5153814093499025</v>
      </c>
      <c r="AO12">
        <f t="shared" ref="AO12:AO20" si="4">(C12/1.025)/(F12*I12*J12*$C$51)</f>
        <v>0.73361839298690157</v>
      </c>
      <c r="AP12">
        <f t="shared" ref="AP12:AP20" si="5">J12*$C$51*AO12</f>
        <v>2.0079135416051495</v>
      </c>
      <c r="AQ12">
        <f>U12^2/(U12*(Q12+S12)/2)</f>
        <v>1.1055415087874212</v>
      </c>
    </row>
    <row r="13" spans="2:43" x14ac:dyDescent="0.25">
      <c r="B13" s="404" t="s">
        <v>350</v>
      </c>
      <c r="C13" s="450">
        <f>C12+0.25</f>
        <v>17.25</v>
      </c>
      <c r="D13" s="440">
        <v>0.35</v>
      </c>
      <c r="E13" s="439">
        <v>16.75</v>
      </c>
      <c r="F13" s="451">
        <v>14.75</v>
      </c>
      <c r="G13" s="440">
        <f>$G$12</f>
        <v>4.5999999999999996</v>
      </c>
      <c r="H13" s="452">
        <f>$H$12</f>
        <v>0.85</v>
      </c>
      <c r="I13" s="451">
        <f>$I$12</f>
        <v>0.56000000000000005</v>
      </c>
      <c r="J13" s="452">
        <f>$J$12</f>
        <v>0.7</v>
      </c>
      <c r="K13" s="452">
        <f>$K$12</f>
        <v>53</v>
      </c>
      <c r="L13" s="607">
        <f>$L$12</f>
        <v>55</v>
      </c>
      <c r="M13" s="439">
        <f>Rig!$C$137-Rig!$C$129+(Data!$L$14*('Initial Rig Data'!F13+'Initial Boat Data'!AO13+'Initial Boat Data'!$C$53+'Initial Boat Data'!C55))</f>
        <v>529.03109787189055</v>
      </c>
      <c r="N13" s="441">
        <f>Rig!$G$136*'Initial Rig Data'!F13+'Initial Boat Data'!$C$53+'Initial Boat Data'!$C$54</f>
        <v>13.391650501689652</v>
      </c>
      <c r="O13" s="445">
        <f t="shared" si="0"/>
        <v>0.54814779764377741</v>
      </c>
      <c r="P13" s="448">
        <v>0</v>
      </c>
      <c r="Q13" s="439">
        <f>2*$C$57*'Initial Rig Data'!J13/('Initial Boat Data'!U13*('Initial Boat Data'!$C$61+1))</f>
        <v>2.1979666813728818</v>
      </c>
      <c r="R13" s="452">
        <v>0.12</v>
      </c>
      <c r="S13" s="440">
        <f t="shared" si="1"/>
        <v>1.9781700132355937</v>
      </c>
      <c r="T13" s="452">
        <v>0.1</v>
      </c>
      <c r="U13" s="441">
        <f t="shared" ref="U13:U19" si="6">$C$56-AO13-AE13/1.5*AD13</f>
        <v>2.2644597679005458</v>
      </c>
      <c r="V13" s="447">
        <f t="shared" si="2"/>
        <v>5287.5</v>
      </c>
      <c r="W13" s="451">
        <v>11300</v>
      </c>
      <c r="X13" s="443"/>
      <c r="Y13" s="452"/>
      <c r="Z13" s="440"/>
      <c r="AA13" s="451"/>
      <c r="AB13" s="451"/>
      <c r="AC13" s="727"/>
      <c r="AD13" s="452">
        <v>2.78</v>
      </c>
      <c r="AE13" s="452">
        <v>0.26500000000000001</v>
      </c>
      <c r="AF13" s="606">
        <v>4.32</v>
      </c>
      <c r="AG13" s="439">
        <v>1</v>
      </c>
      <c r="AH13" s="451">
        <f>2*$C$58*'Initial Rig Data'!J13/(AL13*($C$59+1))</f>
        <v>1.1654621994414223</v>
      </c>
      <c r="AI13" s="440">
        <v>0.12</v>
      </c>
      <c r="AJ13" s="451">
        <f t="shared" si="3"/>
        <v>1.04891597949728</v>
      </c>
      <c r="AK13" s="451">
        <v>0.1</v>
      </c>
      <c r="AL13" s="451">
        <f>($C$60*$C$58*'Initial Rig Data'!L13)^0.5</f>
        <v>1.992940361044832</v>
      </c>
      <c r="AM13" s="441">
        <v>2400</v>
      </c>
      <c r="AN13">
        <f t="shared" ref="AN13:AN20" si="7">U13^2/((Q13+S13)/2)</f>
        <v>2.4557520097751193</v>
      </c>
      <c r="AO13">
        <f t="shared" si="4"/>
        <v>0.74440689876612087</v>
      </c>
      <c r="AP13">
        <f t="shared" si="5"/>
        <v>2.0374416819228727</v>
      </c>
      <c r="AQ13">
        <f t="shared" ref="AQ13:AQ20" si="8">U13^2/(U13*(Q13+S13)/2)</f>
        <v>1.0844758845293714</v>
      </c>
    </row>
    <row r="14" spans="2:43" x14ac:dyDescent="0.25">
      <c r="B14" s="57" t="s">
        <v>332</v>
      </c>
      <c r="C14" s="450">
        <f t="shared" ref="C14:C20" si="9">C13+0.25</f>
        <v>17.5</v>
      </c>
      <c r="D14" s="440">
        <v>0.35</v>
      </c>
      <c r="E14" s="439">
        <v>16.75</v>
      </c>
      <c r="F14" s="451">
        <v>14.75</v>
      </c>
      <c r="G14" s="440">
        <f t="shared" ref="G14:G20" si="10">$G$12</f>
        <v>4.5999999999999996</v>
      </c>
      <c r="H14" s="452">
        <f t="shared" ref="H14:H20" si="11">$H$12</f>
        <v>0.85</v>
      </c>
      <c r="I14" s="451">
        <f t="shared" ref="I14:I20" si="12">$I$12</f>
        <v>0.56000000000000005</v>
      </c>
      <c r="J14" s="452">
        <f t="shared" ref="J14:J20" si="13">$J$12</f>
        <v>0.7</v>
      </c>
      <c r="K14" s="452">
        <f t="shared" ref="K14:K20" si="14">$K$12</f>
        <v>53</v>
      </c>
      <c r="L14" s="607">
        <f t="shared" ref="L14:L20" si="15">$L$12</f>
        <v>55</v>
      </c>
      <c r="M14" s="439">
        <f>Rig!$C$137-Rig!$C$129+(Data!$L$14*('Initial Rig Data'!F14+'Initial Boat Data'!AO14+'Initial Boat Data'!$C$53+'Initial Boat Data'!C56))</f>
        <v>573.20128484764518</v>
      </c>
      <c r="N14" s="441">
        <f>Rig!$G$136*'Initial Rig Data'!F14+'Initial Boat Data'!$C$53+'Initial Boat Data'!$C$54</f>
        <v>13.446103985419867</v>
      </c>
      <c r="O14" s="445">
        <f t="shared" si="0"/>
        <v>0.55074790217474523</v>
      </c>
      <c r="P14" s="448">
        <v>0</v>
      </c>
      <c r="Q14" s="439">
        <f>2*$C$57*'Initial Rig Data'!J14/('Initial Boat Data'!U14*('Initial Boat Data'!$C$61+1))</f>
        <v>2.2297753662360469</v>
      </c>
      <c r="R14" s="452">
        <v>0.12</v>
      </c>
      <c r="S14" s="440">
        <f t="shared" si="1"/>
        <v>2.0067978296124425</v>
      </c>
      <c r="T14" s="452">
        <v>0.1</v>
      </c>
      <c r="U14" s="441">
        <f t="shared" si="6"/>
        <v>2.2536712621213266</v>
      </c>
      <c r="V14" s="447">
        <f t="shared" si="2"/>
        <v>5375</v>
      </c>
      <c r="W14" s="451">
        <v>11300</v>
      </c>
      <c r="X14" s="443"/>
      <c r="Y14" s="452"/>
      <c r="Z14" s="440"/>
      <c r="AA14" s="451"/>
      <c r="AB14" s="451"/>
      <c r="AC14" s="727"/>
      <c r="AD14" s="452">
        <v>2.78</v>
      </c>
      <c r="AE14" s="452">
        <v>0.26500000000000001</v>
      </c>
      <c r="AF14" s="606">
        <v>4.32</v>
      </c>
      <c r="AG14" s="439">
        <v>1</v>
      </c>
      <c r="AH14" s="451">
        <f>2*$C$58*'Initial Rig Data'!J14/(AL14*($C$59+1))</f>
        <v>1.171065469228981</v>
      </c>
      <c r="AI14" s="440">
        <v>0.12</v>
      </c>
      <c r="AJ14" s="451">
        <f t="shared" si="3"/>
        <v>1.053958922306083</v>
      </c>
      <c r="AK14" s="451">
        <v>0.1</v>
      </c>
      <c r="AL14" s="451">
        <f>($C$60*$C$58*'Initial Rig Data'!L14)^0.5</f>
        <v>2.0025219523815574</v>
      </c>
      <c r="AM14" s="441">
        <v>2400</v>
      </c>
      <c r="AN14">
        <f t="shared" si="7"/>
        <v>2.397708677706119</v>
      </c>
      <c r="AO14">
        <f t="shared" si="4"/>
        <v>0.75519540454533995</v>
      </c>
      <c r="AP14">
        <f t="shared" si="5"/>
        <v>2.066969822240595</v>
      </c>
      <c r="AQ14">
        <f t="shared" si="8"/>
        <v>1.0639123451612962</v>
      </c>
    </row>
    <row r="15" spans="2:43" x14ac:dyDescent="0.25">
      <c r="B15" s="57" t="s">
        <v>333</v>
      </c>
      <c r="C15" s="450">
        <f t="shared" si="9"/>
        <v>17.75</v>
      </c>
      <c r="D15" s="440">
        <v>0.35</v>
      </c>
      <c r="E15" s="439">
        <v>16.75</v>
      </c>
      <c r="F15" s="451">
        <v>14.75</v>
      </c>
      <c r="G15" s="440">
        <f t="shared" si="10"/>
        <v>4.5999999999999996</v>
      </c>
      <c r="H15" s="452">
        <f t="shared" si="11"/>
        <v>0.85</v>
      </c>
      <c r="I15" s="451">
        <f t="shared" si="12"/>
        <v>0.56000000000000005</v>
      </c>
      <c r="J15" s="452">
        <f t="shared" si="13"/>
        <v>0.7</v>
      </c>
      <c r="K15" s="452">
        <f t="shared" si="14"/>
        <v>53</v>
      </c>
      <c r="L15" s="607">
        <f t="shared" si="15"/>
        <v>55</v>
      </c>
      <c r="M15" s="439">
        <f>Rig!$C$137-Rig!$C$129+(Data!$L$14*('Initial Rig Data'!F15+'Initial Boat Data'!AO15+'Initial Boat Data'!$C$53+'Initial Boat Data'!C57))</f>
        <v>529.47691796203981</v>
      </c>
      <c r="N15" s="441">
        <f>Rig!$G$136*'Initial Rig Data'!F15+'Initial Boat Data'!$C$53+'Initial Boat Data'!$C$54</f>
        <v>13.500041302968787</v>
      </c>
      <c r="O15" s="445">
        <f t="shared" si="0"/>
        <v>0.55334800670571294</v>
      </c>
      <c r="P15" s="448">
        <v>0</v>
      </c>
      <c r="Q15" s="439">
        <f>2*$C$57*'Initial Rig Data'!J15/('Initial Boat Data'!U15*('Initial Boat Data'!$C$61+1))</f>
        <v>2.2617884420556593</v>
      </c>
      <c r="R15" s="452">
        <v>0.12</v>
      </c>
      <c r="S15" s="440">
        <f t="shared" si="1"/>
        <v>2.0356095978500934</v>
      </c>
      <c r="T15" s="452">
        <v>0.1</v>
      </c>
      <c r="U15" s="441">
        <f t="shared" si="6"/>
        <v>2.2428827563421074</v>
      </c>
      <c r="V15" s="447">
        <f t="shared" si="2"/>
        <v>5462.5</v>
      </c>
      <c r="W15" s="451">
        <v>11300</v>
      </c>
      <c r="X15" s="443"/>
      <c r="Y15" s="452"/>
      <c r="Z15" s="440"/>
      <c r="AA15" s="451"/>
      <c r="AB15" s="451"/>
      <c r="AC15" s="727"/>
      <c r="AD15" s="452">
        <v>2.78</v>
      </c>
      <c r="AE15" s="452">
        <v>0.26500000000000001</v>
      </c>
      <c r="AF15" s="606">
        <v>4.32</v>
      </c>
      <c r="AG15" s="439">
        <v>1</v>
      </c>
      <c r="AH15" s="451">
        <f>2*$C$58*'Initial Rig Data'!J15/(AL15*($C$59+1))</f>
        <v>1.1766156254566558</v>
      </c>
      <c r="AI15" s="440">
        <v>0.12</v>
      </c>
      <c r="AJ15" s="451">
        <f t="shared" si="3"/>
        <v>1.0589540629109901</v>
      </c>
      <c r="AK15" s="451">
        <v>0.1</v>
      </c>
      <c r="AL15" s="451">
        <f>($C$60*$C$58*'Initial Rig Data'!L15)^0.5</f>
        <v>2.0120127195308815</v>
      </c>
      <c r="AM15" s="441">
        <v>2400</v>
      </c>
      <c r="AN15">
        <f t="shared" si="7"/>
        <v>2.3411948402187543</v>
      </c>
      <c r="AO15">
        <f t="shared" si="4"/>
        <v>0.76598391032455915</v>
      </c>
      <c r="AP15">
        <f t="shared" si="5"/>
        <v>2.0964979625583182</v>
      </c>
      <c r="AQ15">
        <f t="shared" si="8"/>
        <v>1.0438329126204453</v>
      </c>
    </row>
    <row r="16" spans="2:43" x14ac:dyDescent="0.25">
      <c r="B16" s="57" t="s">
        <v>334</v>
      </c>
      <c r="C16" s="450">
        <f t="shared" si="9"/>
        <v>18</v>
      </c>
      <c r="D16" s="440">
        <v>0.35</v>
      </c>
      <c r="E16" s="439">
        <v>16.75</v>
      </c>
      <c r="F16" s="451">
        <v>14.75</v>
      </c>
      <c r="G16" s="440">
        <f t="shared" si="10"/>
        <v>4.5999999999999996</v>
      </c>
      <c r="H16" s="452">
        <f t="shared" si="11"/>
        <v>0.85</v>
      </c>
      <c r="I16" s="451">
        <f t="shared" si="12"/>
        <v>0.56000000000000005</v>
      </c>
      <c r="J16" s="452">
        <f t="shared" si="13"/>
        <v>0.7</v>
      </c>
      <c r="K16" s="452">
        <f t="shared" si="14"/>
        <v>53</v>
      </c>
      <c r="L16" s="607">
        <f t="shared" si="15"/>
        <v>55</v>
      </c>
      <c r="M16" s="439">
        <f>Rig!$C$137-Rig!$C$129+(Data!$L$14*('Initial Rig Data'!F16+'Initial Boat Data'!AO16+'Initial Boat Data'!$C$53+'Initial Boat Data'!C58))</f>
        <v>530.84821174597516</v>
      </c>
      <c r="N16" s="441">
        <f>Rig!$G$136*'Initial Rig Data'!F16+'Initial Boat Data'!$C$53+'Initial Boat Data'!$C$54</f>
        <v>13.553474515004595</v>
      </c>
      <c r="O16" s="445">
        <f t="shared" si="0"/>
        <v>0.55594811123668064</v>
      </c>
      <c r="P16" s="448">
        <v>0</v>
      </c>
      <c r="Q16" s="439">
        <f>2*$C$57*'Initial Rig Data'!J16/('Initial Boat Data'!U16*('Initial Boat Data'!$C$61+1))</f>
        <v>2.2940107856409657</v>
      </c>
      <c r="R16" s="452">
        <v>0.12</v>
      </c>
      <c r="S16" s="440">
        <f t="shared" si="1"/>
        <v>2.0646097070768694</v>
      </c>
      <c r="T16" s="452">
        <v>0.1</v>
      </c>
      <c r="U16" s="441">
        <f t="shared" si="6"/>
        <v>2.2320942505628882</v>
      </c>
      <c r="V16" s="447">
        <f t="shared" si="2"/>
        <v>5550</v>
      </c>
      <c r="W16" s="451">
        <v>11300</v>
      </c>
      <c r="X16" s="443"/>
      <c r="Y16" s="452"/>
      <c r="Z16" s="440"/>
      <c r="AA16" s="451"/>
      <c r="AB16" s="451"/>
      <c r="AC16" s="727"/>
      <c r="AD16" s="452">
        <v>2.78</v>
      </c>
      <c r="AE16" s="452">
        <v>0.26500000000000001</v>
      </c>
      <c r="AF16" s="606">
        <v>4.32</v>
      </c>
      <c r="AG16" s="439">
        <v>1</v>
      </c>
      <c r="AH16" s="451">
        <f>2*$C$58*'Initial Rig Data'!J16/(AL16*($C$59+1))</f>
        <v>1.1821139091686006</v>
      </c>
      <c r="AI16" s="440">
        <v>0.12</v>
      </c>
      <c r="AJ16" s="451">
        <f t="shared" si="3"/>
        <v>1.0639025182517405</v>
      </c>
      <c r="AK16" s="451">
        <v>0.1</v>
      </c>
      <c r="AL16" s="451">
        <f>($C$60*$C$58*'Initial Rig Data'!L16)^0.5</f>
        <v>2.0214147846783073</v>
      </c>
      <c r="AM16" s="441">
        <v>2400</v>
      </c>
      <c r="AN16">
        <f t="shared" si="7"/>
        <v>2.2861567102343447</v>
      </c>
      <c r="AO16">
        <f t="shared" si="4"/>
        <v>0.77677241610377823</v>
      </c>
      <c r="AP16">
        <f t="shared" si="5"/>
        <v>2.1260261028760405</v>
      </c>
      <c r="AQ16">
        <f t="shared" si="8"/>
        <v>1.0242205093525163</v>
      </c>
    </row>
    <row r="17" spans="2:43" x14ac:dyDescent="0.25">
      <c r="B17" s="57" t="s">
        <v>335</v>
      </c>
      <c r="C17" s="450">
        <f t="shared" si="9"/>
        <v>18.25</v>
      </c>
      <c r="D17" s="440">
        <v>0.35</v>
      </c>
      <c r="E17" s="439">
        <v>16.75</v>
      </c>
      <c r="F17" s="451">
        <v>14.75</v>
      </c>
      <c r="G17" s="440">
        <f t="shared" si="10"/>
        <v>4.5999999999999996</v>
      </c>
      <c r="H17" s="452">
        <f t="shared" si="11"/>
        <v>0.85</v>
      </c>
      <c r="I17" s="451">
        <f t="shared" si="12"/>
        <v>0.56000000000000005</v>
      </c>
      <c r="J17" s="452">
        <f t="shared" si="13"/>
        <v>0.7</v>
      </c>
      <c r="K17" s="452">
        <f t="shared" si="14"/>
        <v>53</v>
      </c>
      <c r="L17" s="607">
        <f t="shared" si="15"/>
        <v>55</v>
      </c>
      <c r="M17" s="439">
        <f>Rig!$C$137-Rig!$C$129+(Data!$L$14*('Initial Rig Data'!F17+'Initial Boat Data'!AO17+'Initial Boat Data'!$C$53+'Initial Boat Data'!C59))</f>
        <v>543.98635910517828</v>
      </c>
      <c r="N17" s="441">
        <f>Rig!$G$136*'Initial Rig Data'!F17+'Initial Boat Data'!$C$53+'Initial Boat Data'!$C$54</f>
        <v>13.606415237527266</v>
      </c>
      <c r="O17" s="445">
        <f t="shared" si="0"/>
        <v>0.55854821576764846</v>
      </c>
      <c r="P17" s="448">
        <v>0</v>
      </c>
      <c r="Q17" s="439">
        <f>2*$C$57*'Initial Rig Data'!J17/('Initial Boat Data'!U17*('Initial Boat Data'!$C$61+1))</f>
        <v>2.3264473063822315</v>
      </c>
      <c r="R17" s="452">
        <v>0.12</v>
      </c>
      <c r="S17" s="440">
        <f t="shared" si="1"/>
        <v>2.0938025757440086</v>
      </c>
      <c r="T17" s="452">
        <v>0.1</v>
      </c>
      <c r="U17" s="441">
        <f t="shared" si="6"/>
        <v>2.221305744783669</v>
      </c>
      <c r="V17" s="447">
        <f t="shared" si="2"/>
        <v>5637.5</v>
      </c>
      <c r="W17" s="451">
        <v>11300</v>
      </c>
      <c r="X17" s="443"/>
      <c r="Y17" s="452"/>
      <c r="Z17" s="440"/>
      <c r="AA17" s="451"/>
      <c r="AB17" s="451"/>
      <c r="AC17" s="727"/>
      <c r="AD17" s="452">
        <v>2.78</v>
      </c>
      <c r="AE17" s="452">
        <v>0.26500000000000001</v>
      </c>
      <c r="AF17" s="606">
        <v>4.32</v>
      </c>
      <c r="AG17" s="439">
        <v>1</v>
      </c>
      <c r="AH17" s="451">
        <f>2*$C$58*'Initial Rig Data'!J17/(AL17*($C$59+1))</f>
        <v>1.1875615156525587</v>
      </c>
      <c r="AI17" s="440">
        <v>0.12</v>
      </c>
      <c r="AJ17" s="451">
        <f t="shared" si="3"/>
        <v>1.068805364087303</v>
      </c>
      <c r="AK17" s="451">
        <v>0.1</v>
      </c>
      <c r="AL17" s="451">
        <f>($C$60*$C$58*'Initial Rig Data'!L17)^0.5</f>
        <v>2.0307301917658753</v>
      </c>
      <c r="AM17" s="441">
        <v>2400</v>
      </c>
      <c r="AN17">
        <f t="shared" si="7"/>
        <v>2.2325431110855973</v>
      </c>
      <c r="AO17">
        <f t="shared" si="4"/>
        <v>0.78756092188299731</v>
      </c>
      <c r="AP17">
        <f t="shared" si="5"/>
        <v>2.1555542431937633</v>
      </c>
      <c r="AQ17">
        <f t="shared" si="8"/>
        <v>1.0050589012018345</v>
      </c>
    </row>
    <row r="18" spans="2:43" x14ac:dyDescent="0.25">
      <c r="B18" s="57" t="s">
        <v>336</v>
      </c>
      <c r="C18" s="450">
        <f t="shared" si="9"/>
        <v>18.5</v>
      </c>
      <c r="D18" s="440">
        <v>0.35</v>
      </c>
      <c r="E18" s="439">
        <v>16.75</v>
      </c>
      <c r="F18" s="451">
        <v>14.75</v>
      </c>
      <c r="G18" s="440">
        <f t="shared" si="10"/>
        <v>4.5999999999999996</v>
      </c>
      <c r="H18" s="452">
        <f t="shared" si="11"/>
        <v>0.85</v>
      </c>
      <c r="I18" s="451">
        <f t="shared" si="12"/>
        <v>0.56000000000000005</v>
      </c>
      <c r="J18" s="452">
        <f t="shared" si="13"/>
        <v>0.7</v>
      </c>
      <c r="K18" s="452">
        <f t="shared" si="14"/>
        <v>53</v>
      </c>
      <c r="L18" s="607">
        <f t="shared" si="15"/>
        <v>55</v>
      </c>
      <c r="M18" s="439">
        <f>Rig!$C$137-Rig!$C$129+(Data!$L$14*('Initial Rig Data'!F18+'Initial Boat Data'!AO18+'Initial Boat Data'!$C$53+'Initial Boat Data'!C60))</f>
        <v>557.29438156610843</v>
      </c>
      <c r="N18" s="441">
        <f>Rig!$G$136*'Initial Rig Data'!F18+'Initial Boat Data'!$C$53+'Initial Boat Data'!$C$54</f>
        <v>13.658874664104165</v>
      </c>
      <c r="O18" s="445">
        <f t="shared" si="0"/>
        <v>0.56114832029861617</v>
      </c>
      <c r="P18" s="448">
        <v>0</v>
      </c>
      <c r="Q18" s="439">
        <f>2*$C$57*'Initial Rig Data'!J18/('Initial Boat Data'!U18*('Initial Boat Data'!$C$61+1))</f>
        <v>2.3591029498919478</v>
      </c>
      <c r="R18" s="452">
        <v>0.12</v>
      </c>
      <c r="S18" s="440">
        <f t="shared" si="1"/>
        <v>2.1231926549027529</v>
      </c>
      <c r="T18" s="452">
        <v>0.1</v>
      </c>
      <c r="U18" s="441">
        <f t="shared" si="6"/>
        <v>2.2105172390044499</v>
      </c>
      <c r="V18" s="447">
        <f t="shared" si="2"/>
        <v>5725</v>
      </c>
      <c r="W18" s="451">
        <v>11300</v>
      </c>
      <c r="X18" s="443"/>
      <c r="Y18" s="452"/>
      <c r="Z18" s="440"/>
      <c r="AA18" s="451"/>
      <c r="AB18" s="451"/>
      <c r="AC18" s="727"/>
      <c r="AD18" s="452">
        <v>2.78</v>
      </c>
      <c r="AE18" s="452">
        <v>0.26500000000000001</v>
      </c>
      <c r="AF18" s="606">
        <v>4.32</v>
      </c>
      <c r="AG18" s="439">
        <v>1</v>
      </c>
      <c r="AH18" s="451">
        <f>2*$C$58*'Initial Rig Data'!J18/(AL18*($C$59+1))</f>
        <v>1.1929595967279096</v>
      </c>
      <c r="AI18" s="440">
        <v>0.12</v>
      </c>
      <c r="AJ18" s="451">
        <f t="shared" si="3"/>
        <v>1.0736636370551187</v>
      </c>
      <c r="AK18" s="451">
        <v>0.1</v>
      </c>
      <c r="AL18" s="451">
        <f>($C$60*$C$58*'Initial Rig Data'!L18)^0.5</f>
        <v>2.0399609104047256</v>
      </c>
      <c r="AM18" s="441">
        <v>2400</v>
      </c>
      <c r="AN18">
        <f t="shared" si="7"/>
        <v>2.1803053144058149</v>
      </c>
      <c r="AO18">
        <f t="shared" si="4"/>
        <v>0.7983494276622165</v>
      </c>
      <c r="AP18">
        <f t="shared" si="5"/>
        <v>2.1850823835114861</v>
      </c>
      <c r="AQ18">
        <f t="shared" si="8"/>
        <v>0.9863326446563967</v>
      </c>
    </row>
    <row r="19" spans="2:43" x14ac:dyDescent="0.25">
      <c r="B19" s="57" t="s">
        <v>337</v>
      </c>
      <c r="C19" s="450">
        <f t="shared" si="9"/>
        <v>18.75</v>
      </c>
      <c r="D19" s="440">
        <v>0.35</v>
      </c>
      <c r="E19" s="439">
        <v>16.75</v>
      </c>
      <c r="F19" s="451">
        <v>14.75</v>
      </c>
      <c r="G19" s="440">
        <f t="shared" si="10"/>
        <v>4.5999999999999996</v>
      </c>
      <c r="H19" s="452">
        <f t="shared" si="11"/>
        <v>0.85</v>
      </c>
      <c r="I19" s="451">
        <f t="shared" si="12"/>
        <v>0.56000000000000005</v>
      </c>
      <c r="J19" s="452">
        <f t="shared" si="13"/>
        <v>0.7</v>
      </c>
      <c r="K19" s="452">
        <f t="shared" si="14"/>
        <v>53</v>
      </c>
      <c r="L19" s="607">
        <f t="shared" si="15"/>
        <v>55</v>
      </c>
      <c r="M19" s="439">
        <f>Rig!$C$137-Rig!$C$129+(Data!$L$14*('Initial Rig Data'!F19+'Initial Boat Data'!AO19+'Initial Boat Data'!$C$53+'Initial Boat Data'!C61))</f>
        <v>547.08172983731947</v>
      </c>
      <c r="N19" s="441">
        <f>Rig!$G$136*'Initial Rig Data'!F19+'Initial Boat Data'!$C$53+'Initial Boat Data'!$C$54</f>
        <v>13.710863586709554</v>
      </c>
      <c r="O19" s="445">
        <f t="shared" si="0"/>
        <v>0.56374842482958398</v>
      </c>
      <c r="P19" s="448">
        <v>0</v>
      </c>
      <c r="Q19" s="439">
        <f>2*$C$57*'Initial Rig Data'!J19/('Initial Boat Data'!U19*('Initial Boat Data'!$C$61+1))</f>
        <v>2.3919827015860613</v>
      </c>
      <c r="R19" s="452">
        <v>0.12</v>
      </c>
      <c r="S19" s="440">
        <f t="shared" si="1"/>
        <v>2.1527844314274551</v>
      </c>
      <c r="T19" s="452">
        <v>0.1</v>
      </c>
      <c r="U19" s="441">
        <f t="shared" si="6"/>
        <v>2.1997287332252311</v>
      </c>
      <c r="V19" s="447">
        <f t="shared" si="2"/>
        <v>5812.5</v>
      </c>
      <c r="W19" s="451">
        <v>11300</v>
      </c>
      <c r="X19" s="443"/>
      <c r="Y19" s="452"/>
      <c r="Z19" s="443"/>
      <c r="AA19" s="452"/>
      <c r="AB19" s="452"/>
      <c r="AC19" s="728"/>
      <c r="AD19" s="452">
        <v>2.78</v>
      </c>
      <c r="AE19" s="452">
        <v>0.26500000000000001</v>
      </c>
      <c r="AF19" s="606">
        <v>4.32</v>
      </c>
      <c r="AG19" s="447">
        <v>1</v>
      </c>
      <c r="AH19" s="451">
        <f>2*$C$58*'Initial Rig Data'!J19/(AL19*($C$59+1))</f>
        <v>1.1983092628900565</v>
      </c>
      <c r="AI19" s="440">
        <v>0.12</v>
      </c>
      <c r="AJ19" s="451">
        <f t="shared" si="3"/>
        <v>1.0784783366010509</v>
      </c>
      <c r="AK19" s="451">
        <v>0.1</v>
      </c>
      <c r="AL19" s="451">
        <f>($C$60*$C$58*'Initial Rig Data'!L19)^0.5</f>
        <v>2.0491088395419959</v>
      </c>
      <c r="AM19" s="441">
        <v>2400</v>
      </c>
      <c r="AN19">
        <f t="shared" si="7"/>
        <v>2.1293968901628597</v>
      </c>
      <c r="AO19">
        <f t="shared" si="4"/>
        <v>0.80913793344143559</v>
      </c>
      <c r="AP19">
        <f t="shared" si="5"/>
        <v>2.2146105238292089</v>
      </c>
      <c r="AQ19">
        <f t="shared" si="8"/>
        <v>0.96802703806152912</v>
      </c>
    </row>
    <row r="20" spans="2:43" x14ac:dyDescent="0.25">
      <c r="B20" s="57" t="s">
        <v>338</v>
      </c>
      <c r="C20" s="450">
        <f t="shared" si="9"/>
        <v>19</v>
      </c>
      <c r="D20" s="440">
        <v>0.35</v>
      </c>
      <c r="E20" s="439">
        <v>16.75</v>
      </c>
      <c r="F20" s="451">
        <v>14.75</v>
      </c>
      <c r="G20" s="440">
        <f t="shared" si="10"/>
        <v>4.5999999999999996</v>
      </c>
      <c r="H20" s="452">
        <f t="shared" si="11"/>
        <v>0.85</v>
      </c>
      <c r="I20" s="451">
        <f t="shared" si="12"/>
        <v>0.56000000000000005</v>
      </c>
      <c r="J20" s="452">
        <f t="shared" si="13"/>
        <v>0.7</v>
      </c>
      <c r="K20" s="452">
        <f t="shared" si="14"/>
        <v>53</v>
      </c>
      <c r="L20" s="607">
        <f t="shared" si="15"/>
        <v>55</v>
      </c>
      <c r="M20" s="439">
        <f>Rig!$C$137-Rig!$C$129+(Data!$L$14*('Initial Rig Data'!F20+'Initial Boat Data'!AO20+'Initial Boat Data'!$C$53+'Initial Boat Data'!C62))</f>
        <v>536.85668433604451</v>
      </c>
      <c r="N20" s="441">
        <f>Rig!$G$136*'Initial Rig Data'!F20+'Initial Boat Data'!$C$53+'Initial Boat Data'!$C$54</f>
        <v>13.762392415272968</v>
      </c>
      <c r="O20" s="445">
        <f t="shared" si="0"/>
        <v>0.5663485293605518</v>
      </c>
      <c r="P20" s="448">
        <v>0</v>
      </c>
      <c r="Q20" s="439">
        <f>2*$C$57*'Initial Rig Data'!J20/('Initial Boat Data'!U20*('Initial Boat Data'!$C$61+1))</f>
        <v>2.4250915902150667</v>
      </c>
      <c r="R20" s="452">
        <v>0.12</v>
      </c>
      <c r="S20" s="440">
        <f t="shared" si="1"/>
        <v>2.18258243119356</v>
      </c>
      <c r="T20" s="452">
        <v>0.1</v>
      </c>
      <c r="U20" s="441">
        <f>$C$56-AO20-AE20/1.5*AD20</f>
        <v>2.1889402274460119</v>
      </c>
      <c r="V20" s="447">
        <f t="shared" si="2"/>
        <v>5900</v>
      </c>
      <c r="W20" s="451">
        <v>11300</v>
      </c>
      <c r="X20" s="443"/>
      <c r="Y20" s="452"/>
      <c r="Z20" s="443"/>
      <c r="AA20" s="452"/>
      <c r="AB20" s="452"/>
      <c r="AC20" s="728"/>
      <c r="AD20" s="452">
        <v>2.78</v>
      </c>
      <c r="AE20" s="452">
        <v>0.26500000000000001</v>
      </c>
      <c r="AF20" s="606">
        <v>4.32</v>
      </c>
      <c r="AG20" s="447">
        <v>1</v>
      </c>
      <c r="AH20" s="451">
        <f>2*$C$58*'Initial Rig Data'!J20/(AL20*($C$59+1))</f>
        <v>1.2036115853219536</v>
      </c>
      <c r="AI20" s="440">
        <v>0.12</v>
      </c>
      <c r="AJ20" s="451">
        <f t="shared" si="3"/>
        <v>1.0832504267897582</v>
      </c>
      <c r="AK20" s="451">
        <v>0.1</v>
      </c>
      <c r="AL20" s="451">
        <f>($C$60*$C$58*'Initial Rig Data'!L20)^0.5</f>
        <v>2.0581758109005408</v>
      </c>
      <c r="AM20" s="441">
        <v>2400</v>
      </c>
      <c r="AN20">
        <f t="shared" si="7"/>
        <v>2.0797735677779503</v>
      </c>
      <c r="AO20">
        <f t="shared" si="4"/>
        <v>0.81992643922065478</v>
      </c>
      <c r="AP20">
        <f t="shared" si="5"/>
        <v>2.2441386641469316</v>
      </c>
      <c r="AQ20">
        <f t="shared" si="8"/>
        <v>0.95012807645486341</v>
      </c>
    </row>
    <row r="21" spans="2:43" x14ac:dyDescent="0.25">
      <c r="B21" s="57" t="s">
        <v>339</v>
      </c>
      <c r="C21" s="442"/>
      <c r="D21" s="443"/>
      <c r="E21" s="447"/>
      <c r="F21" s="452"/>
      <c r="G21" s="443"/>
      <c r="H21" s="452"/>
      <c r="I21" s="452"/>
      <c r="J21" s="452"/>
      <c r="K21" s="452"/>
      <c r="L21" s="607"/>
      <c r="M21" s="447"/>
      <c r="N21" s="444"/>
      <c r="O21" s="448"/>
      <c r="P21" s="448">
        <v>0</v>
      </c>
      <c r="Q21" s="447"/>
      <c r="R21" s="452"/>
      <c r="S21" s="443"/>
      <c r="T21" s="452"/>
      <c r="U21" s="444"/>
      <c r="V21" s="447"/>
      <c r="W21" s="452"/>
      <c r="X21" s="443"/>
      <c r="Y21" s="452"/>
      <c r="Z21" s="443"/>
      <c r="AA21" s="452"/>
      <c r="AB21" s="452"/>
      <c r="AC21" s="728"/>
      <c r="AD21" s="452"/>
      <c r="AE21" s="452"/>
      <c r="AF21" s="607"/>
      <c r="AG21" s="447"/>
      <c r="AH21" s="452"/>
      <c r="AI21" s="443"/>
      <c r="AJ21" s="452"/>
      <c r="AK21" s="452"/>
      <c r="AL21" s="452"/>
      <c r="AM21" s="453"/>
    </row>
    <row r="22" spans="2:43" x14ac:dyDescent="0.25">
      <c r="B22" s="57" t="s">
        <v>340</v>
      </c>
      <c r="C22" s="442"/>
      <c r="D22" s="443"/>
      <c r="E22" s="447"/>
      <c r="F22" s="452"/>
      <c r="G22" s="443"/>
      <c r="H22" s="452"/>
      <c r="I22" s="452"/>
      <c r="J22" s="452"/>
      <c r="K22" s="452"/>
      <c r="L22" s="607"/>
      <c r="M22" s="447"/>
      <c r="N22" s="444"/>
      <c r="O22" s="448"/>
      <c r="P22" s="448">
        <v>0</v>
      </c>
      <c r="Q22" s="447"/>
      <c r="R22" s="452"/>
      <c r="S22" s="443"/>
      <c r="T22" s="452"/>
      <c r="U22" s="444"/>
      <c r="V22" s="447"/>
      <c r="W22" s="452"/>
      <c r="X22" s="443"/>
      <c r="Y22" s="452"/>
      <c r="Z22" s="443"/>
      <c r="AA22" s="452"/>
      <c r="AB22" s="452"/>
      <c r="AC22" s="728"/>
      <c r="AD22" s="452"/>
      <c r="AE22" s="452"/>
      <c r="AF22" s="607"/>
      <c r="AG22" s="447"/>
      <c r="AH22" s="452"/>
      <c r="AI22" s="443"/>
      <c r="AJ22" s="452"/>
      <c r="AK22" s="452"/>
      <c r="AL22" s="452"/>
      <c r="AM22" s="453"/>
    </row>
    <row r="23" spans="2:43" x14ac:dyDescent="0.25">
      <c r="B23" s="57" t="s">
        <v>341</v>
      </c>
      <c r="C23" s="442"/>
      <c r="D23" s="443"/>
      <c r="E23" s="447"/>
      <c r="F23" s="452"/>
      <c r="G23" s="443"/>
      <c r="H23" s="452"/>
      <c r="I23" s="452"/>
      <c r="J23" s="452"/>
      <c r="K23" s="452"/>
      <c r="L23" s="607"/>
      <c r="M23" s="447"/>
      <c r="N23" s="444"/>
      <c r="O23" s="448"/>
      <c r="P23" s="448">
        <v>0</v>
      </c>
      <c r="Q23" s="447"/>
      <c r="R23" s="452"/>
      <c r="S23" s="443"/>
      <c r="T23" s="452"/>
      <c r="U23" s="444"/>
      <c r="V23" s="447"/>
      <c r="W23" s="452"/>
      <c r="X23" s="443"/>
      <c r="Y23" s="452"/>
      <c r="Z23" s="443"/>
      <c r="AA23" s="452"/>
      <c r="AB23" s="452"/>
      <c r="AC23" s="728"/>
      <c r="AD23" s="452"/>
      <c r="AE23" s="452"/>
      <c r="AF23" s="607"/>
      <c r="AG23" s="447"/>
      <c r="AH23" s="452"/>
      <c r="AI23" s="443"/>
      <c r="AJ23" s="452"/>
      <c r="AK23" s="452"/>
      <c r="AL23" s="452"/>
      <c r="AM23" s="453"/>
    </row>
    <row r="24" spans="2:43" ht="13.8" thickBot="1" x14ac:dyDescent="0.3">
      <c r="B24" s="59" t="s">
        <v>342</v>
      </c>
      <c r="C24" s="450">
        <v>17</v>
      </c>
      <c r="D24" s="440">
        <v>0.35</v>
      </c>
      <c r="E24" s="439">
        <v>16.75</v>
      </c>
      <c r="F24" s="451">
        <v>14.75</v>
      </c>
      <c r="G24" s="440">
        <v>4.5999999999999996</v>
      </c>
      <c r="H24" s="451">
        <v>0.85</v>
      </c>
      <c r="I24" s="451">
        <v>0.56000000000000005</v>
      </c>
      <c r="J24" s="451">
        <v>0.65</v>
      </c>
      <c r="K24" s="451">
        <v>53</v>
      </c>
      <c r="L24" s="606">
        <v>55</v>
      </c>
      <c r="M24" s="439">
        <v>450</v>
      </c>
      <c r="N24" s="795">
        <v>9.9428070926409884</v>
      </c>
      <c r="O24" s="445">
        <v>0.4</v>
      </c>
      <c r="P24" s="439">
        <v>0</v>
      </c>
      <c r="Q24" s="451">
        <v>1</v>
      </c>
      <c r="R24" s="440">
        <v>0.14000000000000001</v>
      </c>
      <c r="S24" s="451">
        <v>0.67</v>
      </c>
      <c r="T24" s="795">
        <v>0.12</v>
      </c>
      <c r="U24" s="439">
        <v>1.9440579838224319</v>
      </c>
      <c r="V24" s="451">
        <v>5199.9999999999991</v>
      </c>
      <c r="W24" s="440">
        <v>11300</v>
      </c>
      <c r="X24" s="451"/>
      <c r="Y24" s="440"/>
      <c r="Z24" s="451"/>
      <c r="AA24" s="451"/>
      <c r="AB24" s="727"/>
      <c r="AC24" s="440"/>
      <c r="AD24" s="796">
        <v>2.5529714637158367</v>
      </c>
      <c r="AE24" s="797">
        <v>0.15</v>
      </c>
      <c r="AF24" s="439">
        <v>2.1213939765618766</v>
      </c>
      <c r="AG24" s="451">
        <v>1</v>
      </c>
      <c r="AH24" s="440">
        <v>0.45</v>
      </c>
      <c r="AI24" s="451">
        <v>0.12</v>
      </c>
      <c r="AJ24" s="451">
        <v>0.35</v>
      </c>
      <c r="AK24" s="451">
        <v>0.1</v>
      </c>
      <c r="AL24" s="441">
        <v>1.6</v>
      </c>
      <c r="AM24">
        <v>2400</v>
      </c>
    </row>
    <row r="25" spans="2:43" ht="13.8" thickBot="1" x14ac:dyDescent="0.3">
      <c r="B25" s="317"/>
      <c r="C25" s="317"/>
      <c r="D25" s="317"/>
      <c r="E25" s="317"/>
      <c r="F25" s="317"/>
      <c r="G25" s="317"/>
      <c r="H25" s="317"/>
      <c r="I25" s="317"/>
      <c r="J25" s="317"/>
      <c r="K25" s="317"/>
      <c r="L25" s="317"/>
      <c r="M25" s="317"/>
      <c r="N25" s="317"/>
      <c r="O25" s="317"/>
      <c r="P25" s="317"/>
      <c r="Q25" s="291"/>
      <c r="R25" s="291"/>
      <c r="S25" s="291"/>
      <c r="T25" s="291"/>
      <c r="U25" s="291"/>
      <c r="V25" s="291"/>
      <c r="W25" s="291"/>
      <c r="X25" s="317"/>
      <c r="Y25" s="317"/>
      <c r="Z25" s="317"/>
      <c r="AA25" s="317"/>
      <c r="AB25" s="317"/>
      <c r="AC25" s="317"/>
      <c r="AD25" s="317"/>
      <c r="AE25" s="317"/>
      <c r="AF25" s="317"/>
      <c r="AG25" s="317"/>
      <c r="AH25" s="317"/>
      <c r="AI25" s="317"/>
      <c r="AJ25" s="317"/>
      <c r="AK25" s="317"/>
      <c r="AL25" s="317"/>
      <c r="AM25" s="317"/>
    </row>
    <row r="26" spans="2:43" ht="20.25" customHeight="1" x14ac:dyDescent="0.25">
      <c r="D26" s="317"/>
      <c r="E26" s="317"/>
      <c r="F26" s="317"/>
      <c r="G26" s="831" t="s">
        <v>144</v>
      </c>
      <c r="H26" s="832"/>
      <c r="I26" s="833"/>
      <c r="J26" s="317"/>
      <c r="K26" s="838" t="s">
        <v>388</v>
      </c>
      <c r="L26" s="839"/>
      <c r="M26" s="840"/>
      <c r="N26" s="317"/>
      <c r="O26" s="317"/>
      <c r="P26" s="317"/>
      <c r="Q26" s="430"/>
      <c r="R26" s="430"/>
      <c r="S26" s="430"/>
      <c r="T26" s="430"/>
      <c r="U26" s="430"/>
      <c r="V26" s="430"/>
      <c r="W26" s="430"/>
      <c r="X26" s="317"/>
      <c r="Y26" s="317"/>
      <c r="Z26" s="317"/>
      <c r="AA26" s="317"/>
      <c r="AB26" s="317"/>
      <c r="AC26" s="317"/>
      <c r="AD26" s="317"/>
      <c r="AE26" s="317"/>
      <c r="AF26" s="317"/>
      <c r="AG26" s="317"/>
      <c r="AH26" s="317"/>
      <c r="AI26" s="317"/>
      <c r="AJ26" s="317"/>
      <c r="AK26" s="317"/>
      <c r="AL26" s="317"/>
      <c r="AM26" s="317"/>
    </row>
    <row r="27" spans="2:43" ht="13.8" thickBot="1" x14ac:dyDescent="0.3">
      <c r="D27" s="317"/>
      <c r="E27" s="317"/>
      <c r="F27" s="317"/>
      <c r="G27" s="834" t="s">
        <v>148</v>
      </c>
      <c r="H27" s="835"/>
      <c r="I27" s="444">
        <v>1025</v>
      </c>
      <c r="J27" s="317"/>
      <c r="K27" s="841"/>
      <c r="L27" s="842"/>
      <c r="M27" s="843"/>
      <c r="N27" s="317"/>
      <c r="O27" s="317"/>
      <c r="P27" s="317"/>
      <c r="Q27" s="430"/>
      <c r="R27" s="430"/>
      <c r="S27" s="430"/>
      <c r="T27" s="430"/>
      <c r="U27" s="430"/>
      <c r="V27" s="430"/>
      <c r="W27" s="430"/>
      <c r="X27" s="317"/>
      <c r="Y27" s="317"/>
      <c r="Z27" s="317"/>
      <c r="AA27" s="317"/>
      <c r="AB27" s="317"/>
      <c r="AC27" s="317"/>
      <c r="AD27" s="317"/>
      <c r="AE27" s="317"/>
      <c r="AF27" s="317"/>
      <c r="AG27" s="317"/>
      <c r="AH27" s="317"/>
      <c r="AI27" s="317"/>
      <c r="AJ27" s="317"/>
      <c r="AK27" s="317"/>
      <c r="AL27" s="317"/>
      <c r="AM27" s="317"/>
    </row>
    <row r="28" spans="2:43" x14ac:dyDescent="0.25">
      <c r="D28" s="317"/>
      <c r="E28" s="317"/>
      <c r="F28" s="317"/>
      <c r="G28" s="834" t="s">
        <v>151</v>
      </c>
      <c r="H28" s="835"/>
      <c r="I28" s="444">
        <v>1.1900000000000001E-3</v>
      </c>
      <c r="J28" s="317"/>
      <c r="K28" s="317"/>
      <c r="L28" s="317"/>
      <c r="M28" s="317"/>
      <c r="N28" s="317"/>
      <c r="O28" s="317"/>
      <c r="P28" s="317"/>
      <c r="Q28" s="430"/>
      <c r="R28" s="430"/>
      <c r="S28" s="430"/>
      <c r="T28" s="430"/>
      <c r="U28" s="430"/>
      <c r="V28" s="430"/>
      <c r="W28" s="430"/>
      <c r="X28" s="317"/>
      <c r="Y28" s="317"/>
      <c r="Z28" s="317"/>
      <c r="AA28" s="317"/>
      <c r="AB28" s="317"/>
      <c r="AC28" s="317"/>
      <c r="AD28" s="317"/>
      <c r="AE28" s="317"/>
      <c r="AF28" s="317"/>
      <c r="AG28" s="317"/>
      <c r="AH28" s="317"/>
      <c r="AI28" s="317"/>
      <c r="AJ28" s="317"/>
      <c r="AK28" s="317"/>
      <c r="AL28" s="317"/>
      <c r="AM28" s="317"/>
    </row>
    <row r="29" spans="2:43" ht="13.8" thickBot="1" x14ac:dyDescent="0.3">
      <c r="B29" s="23"/>
      <c r="D29" s="317"/>
      <c r="E29" s="317"/>
      <c r="F29" s="317"/>
      <c r="G29" s="836" t="s">
        <v>387</v>
      </c>
      <c r="H29" s="837"/>
      <c r="I29" s="449">
        <v>0.7</v>
      </c>
      <c r="J29" s="317"/>
      <c r="K29" s="317"/>
      <c r="L29" s="317"/>
      <c r="M29" s="317"/>
      <c r="N29" s="317"/>
      <c r="O29" s="317"/>
      <c r="P29" s="317"/>
      <c r="Q29" s="291"/>
      <c r="R29" s="291"/>
      <c r="S29" s="291"/>
      <c r="T29" s="291"/>
      <c r="U29" s="291"/>
      <c r="V29" s="291"/>
      <c r="W29" s="291"/>
      <c r="X29" s="317"/>
      <c r="Y29" s="317"/>
      <c r="Z29" s="317"/>
      <c r="AA29" s="317"/>
      <c r="AB29" s="317"/>
      <c r="AC29" s="317"/>
      <c r="AD29" s="317"/>
      <c r="AE29" s="317"/>
      <c r="AF29" s="317"/>
      <c r="AG29" s="317"/>
      <c r="AH29" s="317"/>
      <c r="AI29" s="317"/>
      <c r="AJ29" s="317"/>
      <c r="AK29" s="317"/>
      <c r="AL29" s="317"/>
      <c r="AM29" s="317"/>
    </row>
    <row r="30" spans="2:43" ht="13.8" thickBot="1" x14ac:dyDescent="0.3">
      <c r="B30" s="609"/>
      <c r="C30" s="608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430"/>
      <c r="R30" s="430"/>
      <c r="S30" s="430"/>
      <c r="T30" s="430"/>
      <c r="U30" s="430"/>
      <c r="V30" s="430"/>
      <c r="W30" s="430"/>
      <c r="X30" s="317"/>
      <c r="Y30" s="317"/>
      <c r="Z30" s="317"/>
      <c r="AA30" s="317"/>
      <c r="AB30" s="317"/>
      <c r="AC30" s="317"/>
      <c r="AD30" s="751" t="s">
        <v>434</v>
      </c>
      <c r="AE30" s="317"/>
      <c r="AF30" s="317"/>
      <c r="AG30" s="317"/>
      <c r="AH30" s="317"/>
      <c r="AI30" s="317"/>
      <c r="AJ30" s="317"/>
      <c r="AK30" s="317"/>
      <c r="AL30" s="317"/>
      <c r="AM30" s="317"/>
    </row>
    <row r="31" spans="2:43" ht="13.8" thickBot="1" x14ac:dyDescent="0.3">
      <c r="B31" s="316" t="s">
        <v>343</v>
      </c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291"/>
      <c r="R31" s="291"/>
      <c r="S31" s="291"/>
      <c r="T31" s="291"/>
      <c r="U31" s="291"/>
      <c r="V31" s="291"/>
      <c r="W31" s="291"/>
      <c r="X31" s="317"/>
      <c r="Y31" s="317"/>
      <c r="Z31" s="317"/>
      <c r="AA31" s="317"/>
      <c r="AB31" s="317"/>
      <c r="AC31" s="317"/>
      <c r="AD31" s="317"/>
      <c r="AE31" s="317"/>
      <c r="AF31" s="317"/>
      <c r="AG31" s="317"/>
      <c r="AH31" s="317"/>
      <c r="AI31" s="317"/>
      <c r="AJ31" s="317"/>
      <c r="AK31" s="317"/>
      <c r="AL31" s="317"/>
      <c r="AM31" s="317"/>
    </row>
    <row r="32" spans="2:43" ht="21" customHeight="1" thickBot="1" x14ac:dyDescent="0.3">
      <c r="B32" s="421" t="str">
        <f>D5</f>
        <v>c</v>
      </c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291"/>
      <c r="R32" s="291"/>
      <c r="S32" s="291"/>
      <c r="T32" s="291"/>
      <c r="U32" s="291"/>
      <c r="V32" s="291"/>
      <c r="W32" s="291"/>
      <c r="X32" s="317"/>
      <c r="Y32" s="317"/>
      <c r="Z32" s="317"/>
      <c r="AA32" s="317"/>
      <c r="AB32" s="317"/>
      <c r="AC32" s="317"/>
      <c r="AD32" s="317"/>
      <c r="AE32" s="317"/>
      <c r="AF32" s="317"/>
      <c r="AG32" s="317"/>
      <c r="AH32" s="317"/>
      <c r="AI32" s="317"/>
      <c r="AJ32" s="317"/>
      <c r="AK32" s="317"/>
      <c r="AL32" s="317"/>
      <c r="AM32" s="317"/>
    </row>
    <row r="33" spans="2:55" ht="13.8" thickBot="1" x14ac:dyDescent="0.3">
      <c r="B33" s="806" t="s">
        <v>315</v>
      </c>
      <c r="C33" s="807"/>
      <c r="D33" s="807"/>
      <c r="E33" s="807"/>
      <c r="F33" s="807"/>
      <c r="G33" s="807"/>
      <c r="H33" s="807"/>
      <c r="I33" s="807"/>
      <c r="J33" s="807"/>
      <c r="K33" s="829"/>
      <c r="L33" s="830"/>
      <c r="M33" s="815" t="s">
        <v>316</v>
      </c>
      <c r="N33" s="808"/>
      <c r="O33" s="455" t="s">
        <v>317</v>
      </c>
      <c r="P33" s="456" t="s">
        <v>318</v>
      </c>
      <c r="Q33" s="806" t="s">
        <v>319</v>
      </c>
      <c r="R33" s="807"/>
      <c r="S33" s="807"/>
      <c r="T33" s="807"/>
      <c r="U33" s="808"/>
      <c r="V33" s="819" t="s">
        <v>320</v>
      </c>
      <c r="W33" s="807"/>
      <c r="X33" s="806" t="s">
        <v>321</v>
      </c>
      <c r="Y33" s="807"/>
      <c r="Z33" s="807"/>
      <c r="AA33" s="807"/>
      <c r="AB33" s="807"/>
      <c r="AC33" s="808"/>
      <c r="AD33" s="464"/>
      <c r="AE33" s="464"/>
      <c r="AF33" s="464"/>
      <c r="AG33" s="806" t="s">
        <v>322</v>
      </c>
      <c r="AH33" s="807"/>
      <c r="AI33" s="807"/>
      <c r="AJ33" s="807"/>
      <c r="AK33" s="807"/>
      <c r="AL33" s="807"/>
      <c r="AM33" s="808"/>
    </row>
    <row r="34" spans="2:55" ht="55.8" thickBot="1" x14ac:dyDescent="0.3">
      <c r="B34" s="303" t="s">
        <v>323</v>
      </c>
      <c r="C34" s="407" t="s">
        <v>352</v>
      </c>
      <c r="D34" s="304" t="s">
        <v>18</v>
      </c>
      <c r="E34" s="305" t="s">
        <v>324</v>
      </c>
      <c r="F34" s="306" t="s">
        <v>325</v>
      </c>
      <c r="G34" s="306" t="s">
        <v>326</v>
      </c>
      <c r="H34" s="306" t="s">
        <v>327</v>
      </c>
      <c r="I34" s="306" t="s">
        <v>145</v>
      </c>
      <c r="J34" s="306" t="s">
        <v>158</v>
      </c>
      <c r="K34" s="408" t="s">
        <v>385</v>
      </c>
      <c r="L34" s="408" t="s">
        <v>386</v>
      </c>
      <c r="M34" s="406" t="s">
        <v>351</v>
      </c>
      <c r="N34" s="307" t="s">
        <v>328</v>
      </c>
      <c r="O34" s="397" t="s">
        <v>328</v>
      </c>
      <c r="P34" s="405" t="s">
        <v>329</v>
      </c>
      <c r="Q34" s="309" t="s">
        <v>4</v>
      </c>
      <c r="R34" s="292" t="s">
        <v>5</v>
      </c>
      <c r="S34" s="292" t="s">
        <v>6</v>
      </c>
      <c r="T34" s="292" t="s">
        <v>7</v>
      </c>
      <c r="U34" s="293" t="s">
        <v>8</v>
      </c>
      <c r="V34" s="292" t="s">
        <v>11</v>
      </c>
      <c r="W34" s="310" t="s">
        <v>330</v>
      </c>
      <c r="X34" s="309" t="s">
        <v>4</v>
      </c>
      <c r="Y34" s="292" t="s">
        <v>5</v>
      </c>
      <c r="Z34" s="292" t="s">
        <v>6</v>
      </c>
      <c r="AA34" s="292" t="s">
        <v>7</v>
      </c>
      <c r="AB34" s="292" t="s">
        <v>8</v>
      </c>
      <c r="AC34" s="293" t="s">
        <v>21</v>
      </c>
      <c r="AD34" s="408" t="s">
        <v>149</v>
      </c>
      <c r="AE34" s="408" t="s">
        <v>390</v>
      </c>
      <c r="AF34" s="310" t="s">
        <v>391</v>
      </c>
      <c r="AG34" s="305" t="s">
        <v>17</v>
      </c>
      <c r="AH34" s="306" t="s">
        <v>4</v>
      </c>
      <c r="AI34" s="306" t="s">
        <v>5</v>
      </c>
      <c r="AJ34" s="306" t="s">
        <v>6</v>
      </c>
      <c r="AK34" s="306" t="s">
        <v>7</v>
      </c>
      <c r="AL34" s="306" t="s">
        <v>8</v>
      </c>
      <c r="AM34" s="307" t="s">
        <v>23</v>
      </c>
    </row>
    <row r="35" spans="2:55" x14ac:dyDescent="0.25">
      <c r="B35" s="55" t="str">
        <f>B12</f>
        <v>A</v>
      </c>
      <c r="C35" s="58">
        <f t="shared" ref="C35:AM35" si="16">IF($B$32=$B12,C12,0)</f>
        <v>0</v>
      </c>
      <c r="D35" s="16">
        <f t="shared" si="16"/>
        <v>0</v>
      </c>
      <c r="E35" s="16">
        <f t="shared" si="16"/>
        <v>0</v>
      </c>
      <c r="F35" s="16">
        <f t="shared" si="16"/>
        <v>0</v>
      </c>
      <c r="G35" s="16">
        <f t="shared" si="16"/>
        <v>0</v>
      </c>
      <c r="H35" s="16">
        <f t="shared" si="16"/>
        <v>0</v>
      </c>
      <c r="I35" s="16">
        <f t="shared" si="16"/>
        <v>0</v>
      </c>
      <c r="J35" s="16">
        <f t="shared" si="16"/>
        <v>0</v>
      </c>
      <c r="K35" s="16">
        <f t="shared" si="16"/>
        <v>0</v>
      </c>
      <c r="L35" s="16">
        <f t="shared" si="16"/>
        <v>0</v>
      </c>
      <c r="M35" s="17">
        <f t="shared" si="16"/>
        <v>0</v>
      </c>
      <c r="N35" s="10">
        <f t="shared" si="16"/>
        <v>0</v>
      </c>
      <c r="O35" s="57">
        <f t="shared" si="16"/>
        <v>0</v>
      </c>
      <c r="P35" s="312">
        <f t="shared" si="16"/>
        <v>0</v>
      </c>
      <c r="Q35" s="17">
        <f t="shared" si="16"/>
        <v>0</v>
      </c>
      <c r="R35" s="16">
        <f t="shared" si="16"/>
        <v>0</v>
      </c>
      <c r="S35" s="16">
        <f t="shared" si="16"/>
        <v>0</v>
      </c>
      <c r="T35" s="16">
        <f t="shared" si="16"/>
        <v>0</v>
      </c>
      <c r="U35" s="10">
        <f t="shared" si="16"/>
        <v>0</v>
      </c>
      <c r="V35" s="58">
        <f t="shared" ref="V35:AK47" si="17">IF($B$32=$B12,V12,0)</f>
        <v>0</v>
      </c>
      <c r="W35" s="313">
        <f t="shared" si="16"/>
        <v>0</v>
      </c>
      <c r="X35" s="313">
        <f t="shared" si="16"/>
        <v>0</v>
      </c>
      <c r="Y35" s="313">
        <f t="shared" si="16"/>
        <v>0</v>
      </c>
      <c r="Z35" s="313">
        <f t="shared" si="16"/>
        <v>0</v>
      </c>
      <c r="AA35" s="313">
        <f t="shared" si="16"/>
        <v>0</v>
      </c>
      <c r="AB35" s="313">
        <f t="shared" si="16"/>
        <v>0</v>
      </c>
      <c r="AC35" s="313">
        <f t="shared" si="16"/>
        <v>0</v>
      </c>
      <c r="AD35" s="313">
        <f t="shared" si="16"/>
        <v>0</v>
      </c>
      <c r="AE35" s="313">
        <f t="shared" si="16"/>
        <v>0</v>
      </c>
      <c r="AF35" s="313">
        <f t="shared" si="16"/>
        <v>0</v>
      </c>
      <c r="AG35" s="17">
        <f t="shared" si="16"/>
        <v>0</v>
      </c>
      <c r="AH35" s="16">
        <f t="shared" si="16"/>
        <v>0</v>
      </c>
      <c r="AI35" s="16">
        <f t="shared" si="16"/>
        <v>0</v>
      </c>
      <c r="AJ35" s="16">
        <f t="shared" si="16"/>
        <v>0</v>
      </c>
      <c r="AK35" s="16">
        <f t="shared" si="16"/>
        <v>0</v>
      </c>
      <c r="AL35" s="16">
        <f t="shared" si="16"/>
        <v>0</v>
      </c>
      <c r="AM35" s="10">
        <f t="shared" si="16"/>
        <v>0</v>
      </c>
    </row>
    <row r="36" spans="2:55" x14ac:dyDescent="0.25">
      <c r="B36" s="57" t="str">
        <f>B13</f>
        <v xml:space="preserve">B </v>
      </c>
      <c r="C36" s="58">
        <f t="shared" ref="C36:U36" si="18">IF($B$32=$B13,C13,0)</f>
        <v>0</v>
      </c>
      <c r="D36" s="16">
        <f t="shared" si="18"/>
        <v>0</v>
      </c>
      <c r="E36" s="16">
        <f t="shared" si="18"/>
        <v>0</v>
      </c>
      <c r="F36" s="16">
        <f t="shared" si="18"/>
        <v>0</v>
      </c>
      <c r="G36" s="16">
        <f t="shared" si="18"/>
        <v>0</v>
      </c>
      <c r="H36" s="16">
        <f t="shared" si="18"/>
        <v>0</v>
      </c>
      <c r="I36" s="16">
        <f t="shared" si="18"/>
        <v>0</v>
      </c>
      <c r="J36" s="16">
        <f t="shared" si="18"/>
        <v>0</v>
      </c>
      <c r="K36" s="16">
        <f t="shared" si="18"/>
        <v>0</v>
      </c>
      <c r="L36" s="16">
        <f t="shared" si="18"/>
        <v>0</v>
      </c>
      <c r="M36" s="17">
        <f t="shared" si="18"/>
        <v>0</v>
      </c>
      <c r="N36" s="10">
        <f t="shared" si="18"/>
        <v>0</v>
      </c>
      <c r="O36" s="57">
        <f t="shared" si="18"/>
        <v>0</v>
      </c>
      <c r="P36" s="312">
        <f t="shared" si="18"/>
        <v>0</v>
      </c>
      <c r="Q36" s="17">
        <f t="shared" si="18"/>
        <v>0</v>
      </c>
      <c r="R36" s="16">
        <f t="shared" si="18"/>
        <v>0</v>
      </c>
      <c r="S36" s="16">
        <f t="shared" si="18"/>
        <v>0</v>
      </c>
      <c r="T36" s="16">
        <f t="shared" si="18"/>
        <v>0</v>
      </c>
      <c r="U36" s="10">
        <f t="shared" si="18"/>
        <v>0</v>
      </c>
      <c r="V36" s="58">
        <f t="shared" si="17"/>
        <v>0</v>
      </c>
      <c r="W36" s="313">
        <f t="shared" si="17"/>
        <v>0</v>
      </c>
      <c r="X36" s="313">
        <f t="shared" si="17"/>
        <v>0</v>
      </c>
      <c r="Y36" s="313">
        <f t="shared" si="17"/>
        <v>0</v>
      </c>
      <c r="Z36" s="313">
        <f t="shared" si="17"/>
        <v>0</v>
      </c>
      <c r="AA36" s="313">
        <f t="shared" si="17"/>
        <v>0</v>
      </c>
      <c r="AB36" s="313">
        <f t="shared" si="17"/>
        <v>0</v>
      </c>
      <c r="AC36" s="313">
        <f t="shared" si="17"/>
        <v>0</v>
      </c>
      <c r="AD36" s="313">
        <f t="shared" si="17"/>
        <v>0</v>
      </c>
      <c r="AE36" s="313">
        <f t="shared" si="17"/>
        <v>0</v>
      </c>
      <c r="AF36" s="313">
        <f t="shared" si="17"/>
        <v>0</v>
      </c>
      <c r="AG36" s="17">
        <f t="shared" si="17"/>
        <v>0</v>
      </c>
      <c r="AH36" s="16">
        <f t="shared" si="17"/>
        <v>0</v>
      </c>
      <c r="AI36" s="16">
        <f t="shared" si="17"/>
        <v>0</v>
      </c>
      <c r="AJ36" s="16">
        <f t="shared" si="17"/>
        <v>0</v>
      </c>
      <c r="AK36" s="16">
        <f t="shared" si="17"/>
        <v>0</v>
      </c>
      <c r="AL36" s="16">
        <f t="shared" ref="AL36:AM36" si="19">IF($B$32=$B13,AL13,0)</f>
        <v>0</v>
      </c>
      <c r="AM36" s="10">
        <f t="shared" si="19"/>
        <v>0</v>
      </c>
    </row>
    <row r="37" spans="2:55" x14ac:dyDescent="0.25">
      <c r="B37" s="57" t="str">
        <f t="shared" ref="B37:B46" si="20">B14</f>
        <v>C</v>
      </c>
      <c r="C37" s="58">
        <f t="shared" ref="C37:U37" si="21">IF($B$32=$B14,C14,0)</f>
        <v>17.5</v>
      </c>
      <c r="D37" s="16">
        <f t="shared" si="21"/>
        <v>0.35</v>
      </c>
      <c r="E37" s="16">
        <f t="shared" si="21"/>
        <v>16.75</v>
      </c>
      <c r="F37" s="16">
        <f t="shared" si="21"/>
        <v>14.75</v>
      </c>
      <c r="G37" s="16">
        <f t="shared" si="21"/>
        <v>4.5999999999999996</v>
      </c>
      <c r="H37" s="16">
        <f t="shared" si="21"/>
        <v>0.85</v>
      </c>
      <c r="I37" s="16">
        <f t="shared" si="21"/>
        <v>0.56000000000000005</v>
      </c>
      <c r="J37" s="16">
        <f t="shared" si="21"/>
        <v>0.7</v>
      </c>
      <c r="K37" s="16">
        <f t="shared" si="21"/>
        <v>53</v>
      </c>
      <c r="L37" s="16">
        <f t="shared" si="21"/>
        <v>55</v>
      </c>
      <c r="M37" s="17">
        <f t="shared" si="21"/>
        <v>573.20128484764518</v>
      </c>
      <c r="N37" s="10">
        <f t="shared" si="21"/>
        <v>13.446103985419867</v>
      </c>
      <c r="O37" s="57">
        <f t="shared" si="21"/>
        <v>0.55074790217474523</v>
      </c>
      <c r="P37" s="312">
        <f t="shared" si="21"/>
        <v>0</v>
      </c>
      <c r="Q37" s="17">
        <f t="shared" si="21"/>
        <v>2.2297753662360469</v>
      </c>
      <c r="R37" s="16">
        <f t="shared" si="21"/>
        <v>0.12</v>
      </c>
      <c r="S37" s="16">
        <f t="shared" si="21"/>
        <v>2.0067978296124425</v>
      </c>
      <c r="T37" s="16">
        <f t="shared" si="21"/>
        <v>0.1</v>
      </c>
      <c r="U37" s="10">
        <f t="shared" si="21"/>
        <v>2.2536712621213266</v>
      </c>
      <c r="V37" s="58">
        <f t="shared" si="17"/>
        <v>5375</v>
      </c>
      <c r="W37" s="313">
        <f t="shared" si="17"/>
        <v>11300</v>
      </c>
      <c r="X37" s="313">
        <f t="shared" si="17"/>
        <v>0</v>
      </c>
      <c r="Y37" s="313">
        <f t="shared" si="17"/>
        <v>0</v>
      </c>
      <c r="Z37" s="313">
        <f t="shared" si="17"/>
        <v>0</v>
      </c>
      <c r="AA37" s="313">
        <f t="shared" si="17"/>
        <v>0</v>
      </c>
      <c r="AB37" s="313">
        <f t="shared" si="17"/>
        <v>0</v>
      </c>
      <c r="AC37" s="313">
        <f t="shared" si="17"/>
        <v>0</v>
      </c>
      <c r="AD37" s="313">
        <f t="shared" si="17"/>
        <v>2.78</v>
      </c>
      <c r="AE37" s="313">
        <f t="shared" si="17"/>
        <v>0.26500000000000001</v>
      </c>
      <c r="AF37" s="313">
        <f t="shared" si="17"/>
        <v>4.32</v>
      </c>
      <c r="AG37" s="17">
        <f t="shared" si="17"/>
        <v>1</v>
      </c>
      <c r="AH37" s="16">
        <f t="shared" si="17"/>
        <v>1.171065469228981</v>
      </c>
      <c r="AI37" s="16">
        <f t="shared" si="17"/>
        <v>0.12</v>
      </c>
      <c r="AJ37" s="16">
        <f t="shared" si="17"/>
        <v>1.053958922306083</v>
      </c>
      <c r="AK37" s="16">
        <f t="shared" si="17"/>
        <v>0.1</v>
      </c>
      <c r="AL37" s="16">
        <f t="shared" ref="AL37:AM37" si="22">IF($B$32=$B14,AL14,0)</f>
        <v>2.0025219523815574</v>
      </c>
      <c r="AM37" s="10">
        <f t="shared" si="22"/>
        <v>2400</v>
      </c>
    </row>
    <row r="38" spans="2:55" x14ac:dyDescent="0.25">
      <c r="B38" s="57" t="str">
        <f t="shared" si="20"/>
        <v>D</v>
      </c>
      <c r="C38" s="58">
        <f t="shared" ref="C38:U38" si="23">IF($B$32=$B15,C15,0)</f>
        <v>0</v>
      </c>
      <c r="D38" s="16">
        <f t="shared" si="23"/>
        <v>0</v>
      </c>
      <c r="E38" s="16">
        <f t="shared" si="23"/>
        <v>0</v>
      </c>
      <c r="F38" s="16">
        <f t="shared" si="23"/>
        <v>0</v>
      </c>
      <c r="G38" s="16">
        <f t="shared" si="23"/>
        <v>0</v>
      </c>
      <c r="H38" s="16">
        <f t="shared" si="23"/>
        <v>0</v>
      </c>
      <c r="I38" s="16">
        <f t="shared" si="23"/>
        <v>0</v>
      </c>
      <c r="J38" s="16">
        <f t="shared" si="23"/>
        <v>0</v>
      </c>
      <c r="K38" s="16">
        <f t="shared" si="23"/>
        <v>0</v>
      </c>
      <c r="L38" s="16">
        <f t="shared" si="23"/>
        <v>0</v>
      </c>
      <c r="M38" s="17">
        <f t="shared" si="23"/>
        <v>0</v>
      </c>
      <c r="N38" s="10">
        <f t="shared" si="23"/>
        <v>0</v>
      </c>
      <c r="O38" s="57">
        <f t="shared" si="23"/>
        <v>0</v>
      </c>
      <c r="P38" s="312">
        <f t="shared" si="23"/>
        <v>0</v>
      </c>
      <c r="Q38" s="17">
        <f t="shared" si="23"/>
        <v>0</v>
      </c>
      <c r="R38" s="16">
        <f t="shared" si="23"/>
        <v>0</v>
      </c>
      <c r="S38" s="16">
        <f t="shared" si="23"/>
        <v>0</v>
      </c>
      <c r="T38" s="16">
        <f t="shared" si="23"/>
        <v>0</v>
      </c>
      <c r="U38" s="10">
        <f t="shared" si="23"/>
        <v>0</v>
      </c>
      <c r="V38" s="58">
        <f t="shared" si="17"/>
        <v>0</v>
      </c>
      <c r="W38" s="313">
        <f t="shared" si="17"/>
        <v>0</v>
      </c>
      <c r="X38" s="313">
        <f t="shared" si="17"/>
        <v>0</v>
      </c>
      <c r="Y38" s="313">
        <f t="shared" si="17"/>
        <v>0</v>
      </c>
      <c r="Z38" s="313">
        <f t="shared" si="17"/>
        <v>0</v>
      </c>
      <c r="AA38" s="313">
        <f t="shared" si="17"/>
        <v>0</v>
      </c>
      <c r="AB38" s="313">
        <f t="shared" si="17"/>
        <v>0</v>
      </c>
      <c r="AC38" s="313">
        <f t="shared" si="17"/>
        <v>0</v>
      </c>
      <c r="AD38" s="313">
        <f t="shared" si="17"/>
        <v>0</v>
      </c>
      <c r="AE38" s="313">
        <f t="shared" si="17"/>
        <v>0</v>
      </c>
      <c r="AF38" s="313">
        <f t="shared" si="17"/>
        <v>0</v>
      </c>
      <c r="AG38" s="17">
        <f t="shared" si="17"/>
        <v>0</v>
      </c>
      <c r="AH38" s="16">
        <f t="shared" si="17"/>
        <v>0</v>
      </c>
      <c r="AI38" s="16">
        <f t="shared" si="17"/>
        <v>0</v>
      </c>
      <c r="AJ38" s="16">
        <f t="shared" si="17"/>
        <v>0</v>
      </c>
      <c r="AK38" s="16">
        <f t="shared" si="17"/>
        <v>0</v>
      </c>
      <c r="AL38" s="16">
        <f t="shared" ref="AL38:AM38" si="24">IF($B$32=$B15,AL15,0)</f>
        <v>0</v>
      </c>
      <c r="AM38" s="10">
        <f t="shared" si="24"/>
        <v>0</v>
      </c>
    </row>
    <row r="39" spans="2:55" x14ac:dyDescent="0.25">
      <c r="B39" s="57" t="str">
        <f t="shared" si="20"/>
        <v>E</v>
      </c>
      <c r="C39" s="58">
        <f t="shared" ref="C39:U39" si="25">IF($B$32=$B16,C16,0)</f>
        <v>0</v>
      </c>
      <c r="D39" s="16">
        <f t="shared" si="25"/>
        <v>0</v>
      </c>
      <c r="E39" s="16">
        <f t="shared" si="25"/>
        <v>0</v>
      </c>
      <c r="F39" s="16">
        <f t="shared" si="25"/>
        <v>0</v>
      </c>
      <c r="G39" s="16">
        <f t="shared" si="25"/>
        <v>0</v>
      </c>
      <c r="H39" s="16">
        <f t="shared" si="25"/>
        <v>0</v>
      </c>
      <c r="I39" s="16">
        <f t="shared" si="25"/>
        <v>0</v>
      </c>
      <c r="J39" s="16">
        <f t="shared" si="25"/>
        <v>0</v>
      </c>
      <c r="K39" s="16">
        <f t="shared" si="25"/>
        <v>0</v>
      </c>
      <c r="L39" s="16">
        <f t="shared" si="25"/>
        <v>0</v>
      </c>
      <c r="M39" s="17">
        <f t="shared" si="25"/>
        <v>0</v>
      </c>
      <c r="N39" s="10">
        <f t="shared" si="25"/>
        <v>0</v>
      </c>
      <c r="O39" s="57">
        <f t="shared" si="25"/>
        <v>0</v>
      </c>
      <c r="P39" s="312">
        <f t="shared" si="25"/>
        <v>0</v>
      </c>
      <c r="Q39" s="17">
        <f t="shared" si="25"/>
        <v>0</v>
      </c>
      <c r="R39" s="16">
        <f t="shared" si="25"/>
        <v>0</v>
      </c>
      <c r="S39" s="16">
        <f t="shared" si="25"/>
        <v>0</v>
      </c>
      <c r="T39" s="16">
        <f t="shared" si="25"/>
        <v>0</v>
      </c>
      <c r="U39" s="10">
        <f t="shared" si="25"/>
        <v>0</v>
      </c>
      <c r="V39" s="58">
        <f t="shared" si="17"/>
        <v>0</v>
      </c>
      <c r="W39" s="313">
        <f t="shared" si="17"/>
        <v>0</v>
      </c>
      <c r="X39" s="313">
        <f t="shared" si="17"/>
        <v>0</v>
      </c>
      <c r="Y39" s="313">
        <f t="shared" si="17"/>
        <v>0</v>
      </c>
      <c r="Z39" s="313">
        <f t="shared" si="17"/>
        <v>0</v>
      </c>
      <c r="AA39" s="313">
        <f t="shared" si="17"/>
        <v>0</v>
      </c>
      <c r="AB39" s="313">
        <f t="shared" si="17"/>
        <v>0</v>
      </c>
      <c r="AC39" s="313">
        <f t="shared" si="17"/>
        <v>0</v>
      </c>
      <c r="AD39" s="313">
        <f t="shared" si="17"/>
        <v>0</v>
      </c>
      <c r="AE39" s="313">
        <f t="shared" si="17"/>
        <v>0</v>
      </c>
      <c r="AF39" s="313">
        <f t="shared" si="17"/>
        <v>0</v>
      </c>
      <c r="AG39" s="17">
        <f t="shared" si="17"/>
        <v>0</v>
      </c>
      <c r="AH39" s="16">
        <f t="shared" si="17"/>
        <v>0</v>
      </c>
      <c r="AI39" s="16">
        <f t="shared" si="17"/>
        <v>0</v>
      </c>
      <c r="AJ39" s="16">
        <f t="shared" si="17"/>
        <v>0</v>
      </c>
      <c r="AK39" s="16">
        <f t="shared" si="17"/>
        <v>0</v>
      </c>
      <c r="AL39" s="16">
        <f t="shared" ref="AL39:AM39" si="26">IF($B$32=$B16,AL16,0)</f>
        <v>0</v>
      </c>
      <c r="AM39" s="10">
        <f t="shared" si="26"/>
        <v>0</v>
      </c>
    </row>
    <row r="40" spans="2:55" x14ac:dyDescent="0.25">
      <c r="B40" s="57" t="str">
        <f t="shared" si="20"/>
        <v>F</v>
      </c>
      <c r="C40" s="58">
        <f t="shared" ref="C40:U40" si="27">IF($B$32=$B17,C17,0)</f>
        <v>0</v>
      </c>
      <c r="D40" s="16">
        <f t="shared" si="27"/>
        <v>0</v>
      </c>
      <c r="E40" s="16">
        <f t="shared" si="27"/>
        <v>0</v>
      </c>
      <c r="F40" s="16">
        <f t="shared" si="27"/>
        <v>0</v>
      </c>
      <c r="G40" s="16">
        <f t="shared" si="27"/>
        <v>0</v>
      </c>
      <c r="H40" s="16">
        <f t="shared" si="27"/>
        <v>0</v>
      </c>
      <c r="I40" s="16">
        <f t="shared" si="27"/>
        <v>0</v>
      </c>
      <c r="J40" s="16">
        <f t="shared" si="27"/>
        <v>0</v>
      </c>
      <c r="K40" s="16">
        <f t="shared" si="27"/>
        <v>0</v>
      </c>
      <c r="L40" s="16">
        <f t="shared" si="27"/>
        <v>0</v>
      </c>
      <c r="M40" s="17">
        <f t="shared" si="27"/>
        <v>0</v>
      </c>
      <c r="N40" s="10">
        <f t="shared" si="27"/>
        <v>0</v>
      </c>
      <c r="O40" s="57">
        <f t="shared" si="27"/>
        <v>0</v>
      </c>
      <c r="P40" s="312">
        <f t="shared" si="27"/>
        <v>0</v>
      </c>
      <c r="Q40" s="17">
        <f t="shared" si="27"/>
        <v>0</v>
      </c>
      <c r="R40" s="16">
        <f t="shared" si="27"/>
        <v>0</v>
      </c>
      <c r="S40" s="16">
        <f t="shared" si="27"/>
        <v>0</v>
      </c>
      <c r="T40" s="16">
        <f t="shared" si="27"/>
        <v>0</v>
      </c>
      <c r="U40" s="10">
        <f t="shared" si="27"/>
        <v>0</v>
      </c>
      <c r="V40" s="58">
        <f t="shared" si="17"/>
        <v>0</v>
      </c>
      <c r="W40" s="313">
        <f t="shared" si="17"/>
        <v>0</v>
      </c>
      <c r="X40" s="313">
        <f t="shared" si="17"/>
        <v>0</v>
      </c>
      <c r="Y40" s="313">
        <f t="shared" si="17"/>
        <v>0</v>
      </c>
      <c r="Z40" s="313">
        <f t="shared" si="17"/>
        <v>0</v>
      </c>
      <c r="AA40" s="313">
        <f t="shared" si="17"/>
        <v>0</v>
      </c>
      <c r="AB40" s="313">
        <f t="shared" si="17"/>
        <v>0</v>
      </c>
      <c r="AC40" s="313">
        <f t="shared" si="17"/>
        <v>0</v>
      </c>
      <c r="AD40" s="313">
        <f t="shared" si="17"/>
        <v>0</v>
      </c>
      <c r="AE40" s="313">
        <f t="shared" si="17"/>
        <v>0</v>
      </c>
      <c r="AF40" s="313">
        <f t="shared" si="17"/>
        <v>0</v>
      </c>
      <c r="AG40" s="17">
        <f t="shared" si="17"/>
        <v>0</v>
      </c>
      <c r="AH40" s="16">
        <f t="shared" si="17"/>
        <v>0</v>
      </c>
      <c r="AI40" s="16">
        <f t="shared" si="17"/>
        <v>0</v>
      </c>
      <c r="AJ40" s="16">
        <f t="shared" si="17"/>
        <v>0</v>
      </c>
      <c r="AK40" s="16">
        <f t="shared" si="17"/>
        <v>0</v>
      </c>
      <c r="AL40" s="16">
        <f t="shared" ref="AL40:AM40" si="28">IF($B$32=$B17,AL17,0)</f>
        <v>0</v>
      </c>
      <c r="AM40" s="10">
        <f t="shared" si="28"/>
        <v>0</v>
      </c>
    </row>
    <row r="41" spans="2:55" x14ac:dyDescent="0.25">
      <c r="B41" s="57" t="str">
        <f t="shared" si="20"/>
        <v>G</v>
      </c>
      <c r="C41" s="58">
        <f t="shared" ref="C41:U41" si="29">IF($B$32=$B18,C18,0)</f>
        <v>0</v>
      </c>
      <c r="D41" s="16">
        <f t="shared" si="29"/>
        <v>0</v>
      </c>
      <c r="E41" s="16">
        <f t="shared" si="29"/>
        <v>0</v>
      </c>
      <c r="F41" s="16">
        <f t="shared" si="29"/>
        <v>0</v>
      </c>
      <c r="G41" s="16">
        <f t="shared" si="29"/>
        <v>0</v>
      </c>
      <c r="H41" s="16">
        <f t="shared" si="29"/>
        <v>0</v>
      </c>
      <c r="I41" s="16">
        <f t="shared" si="29"/>
        <v>0</v>
      </c>
      <c r="J41" s="16">
        <f t="shared" si="29"/>
        <v>0</v>
      </c>
      <c r="K41" s="16">
        <f t="shared" si="29"/>
        <v>0</v>
      </c>
      <c r="L41" s="16">
        <f t="shared" si="29"/>
        <v>0</v>
      </c>
      <c r="M41" s="17">
        <f t="shared" si="29"/>
        <v>0</v>
      </c>
      <c r="N41" s="10">
        <f t="shared" si="29"/>
        <v>0</v>
      </c>
      <c r="O41" s="57">
        <f t="shared" si="29"/>
        <v>0</v>
      </c>
      <c r="P41" s="312">
        <f t="shared" si="29"/>
        <v>0</v>
      </c>
      <c r="Q41" s="17">
        <f t="shared" si="29"/>
        <v>0</v>
      </c>
      <c r="R41" s="16">
        <f t="shared" si="29"/>
        <v>0</v>
      </c>
      <c r="S41" s="16">
        <f t="shared" si="29"/>
        <v>0</v>
      </c>
      <c r="T41" s="16">
        <f t="shared" si="29"/>
        <v>0</v>
      </c>
      <c r="U41" s="10">
        <f t="shared" si="29"/>
        <v>0</v>
      </c>
      <c r="V41" s="58">
        <f t="shared" si="17"/>
        <v>0</v>
      </c>
      <c r="W41" s="313">
        <f t="shared" si="17"/>
        <v>0</v>
      </c>
      <c r="X41" s="313">
        <f t="shared" si="17"/>
        <v>0</v>
      </c>
      <c r="Y41" s="313">
        <f t="shared" si="17"/>
        <v>0</v>
      </c>
      <c r="Z41" s="313">
        <f t="shared" si="17"/>
        <v>0</v>
      </c>
      <c r="AA41" s="313">
        <f t="shared" si="17"/>
        <v>0</v>
      </c>
      <c r="AB41" s="313">
        <f t="shared" si="17"/>
        <v>0</v>
      </c>
      <c r="AC41" s="313">
        <f t="shared" si="17"/>
        <v>0</v>
      </c>
      <c r="AD41" s="313">
        <f t="shared" si="17"/>
        <v>0</v>
      </c>
      <c r="AE41" s="313">
        <f t="shared" si="17"/>
        <v>0</v>
      </c>
      <c r="AF41" s="313">
        <f t="shared" si="17"/>
        <v>0</v>
      </c>
      <c r="AG41" s="17">
        <f t="shared" si="17"/>
        <v>0</v>
      </c>
      <c r="AH41" s="16">
        <f t="shared" si="17"/>
        <v>0</v>
      </c>
      <c r="AI41" s="16">
        <f t="shared" si="17"/>
        <v>0</v>
      </c>
      <c r="AJ41" s="16">
        <f t="shared" si="17"/>
        <v>0</v>
      </c>
      <c r="AK41" s="16">
        <f t="shared" si="17"/>
        <v>0</v>
      </c>
      <c r="AL41" s="16">
        <f t="shared" ref="AL41:AM41" si="30">IF($B$32=$B18,AL18,0)</f>
        <v>0</v>
      </c>
      <c r="AM41" s="10">
        <f t="shared" si="30"/>
        <v>0</v>
      </c>
    </row>
    <row r="42" spans="2:55" x14ac:dyDescent="0.25">
      <c r="B42" s="57" t="str">
        <f t="shared" si="20"/>
        <v>H</v>
      </c>
      <c r="C42" s="58">
        <f t="shared" ref="C42:U42" si="31">IF($B$32=$B19,C19,0)</f>
        <v>0</v>
      </c>
      <c r="D42" s="16">
        <f t="shared" si="31"/>
        <v>0</v>
      </c>
      <c r="E42" s="16">
        <f t="shared" si="31"/>
        <v>0</v>
      </c>
      <c r="F42" s="16">
        <f t="shared" si="31"/>
        <v>0</v>
      </c>
      <c r="G42" s="16">
        <f t="shared" si="31"/>
        <v>0</v>
      </c>
      <c r="H42" s="16">
        <f t="shared" si="31"/>
        <v>0</v>
      </c>
      <c r="I42" s="16">
        <f t="shared" si="31"/>
        <v>0</v>
      </c>
      <c r="J42" s="16">
        <f t="shared" si="31"/>
        <v>0</v>
      </c>
      <c r="K42" s="16">
        <f t="shared" si="31"/>
        <v>0</v>
      </c>
      <c r="L42" s="16">
        <f t="shared" si="31"/>
        <v>0</v>
      </c>
      <c r="M42" s="17">
        <f t="shared" si="31"/>
        <v>0</v>
      </c>
      <c r="N42" s="10">
        <f t="shared" si="31"/>
        <v>0</v>
      </c>
      <c r="O42" s="57">
        <f t="shared" si="31"/>
        <v>0</v>
      </c>
      <c r="P42" s="312">
        <f t="shared" si="31"/>
        <v>0</v>
      </c>
      <c r="Q42" s="17">
        <f t="shared" si="31"/>
        <v>0</v>
      </c>
      <c r="R42" s="16">
        <f t="shared" si="31"/>
        <v>0</v>
      </c>
      <c r="S42" s="16">
        <f t="shared" si="31"/>
        <v>0</v>
      </c>
      <c r="T42" s="16">
        <f t="shared" si="31"/>
        <v>0</v>
      </c>
      <c r="U42" s="10">
        <f t="shared" si="31"/>
        <v>0</v>
      </c>
      <c r="V42" s="58">
        <f t="shared" si="17"/>
        <v>0</v>
      </c>
      <c r="W42" s="313">
        <f t="shared" si="17"/>
        <v>0</v>
      </c>
      <c r="X42" s="313">
        <f t="shared" si="17"/>
        <v>0</v>
      </c>
      <c r="Y42" s="313">
        <f t="shared" si="17"/>
        <v>0</v>
      </c>
      <c r="Z42" s="313">
        <f t="shared" si="17"/>
        <v>0</v>
      </c>
      <c r="AA42" s="313">
        <f t="shared" si="17"/>
        <v>0</v>
      </c>
      <c r="AB42" s="313">
        <f t="shared" si="17"/>
        <v>0</v>
      </c>
      <c r="AC42" s="313">
        <f t="shared" si="17"/>
        <v>0</v>
      </c>
      <c r="AD42" s="313">
        <f t="shared" si="17"/>
        <v>0</v>
      </c>
      <c r="AE42" s="313">
        <f t="shared" si="17"/>
        <v>0</v>
      </c>
      <c r="AF42" s="313">
        <f t="shared" si="17"/>
        <v>0</v>
      </c>
      <c r="AG42" s="17">
        <f t="shared" si="17"/>
        <v>0</v>
      </c>
      <c r="AH42" s="16">
        <f t="shared" si="17"/>
        <v>0</v>
      </c>
      <c r="AI42" s="16">
        <f t="shared" si="17"/>
        <v>0</v>
      </c>
      <c r="AJ42" s="16">
        <f t="shared" si="17"/>
        <v>0</v>
      </c>
      <c r="AK42" s="16">
        <f t="shared" si="17"/>
        <v>0</v>
      </c>
      <c r="AL42" s="16">
        <f t="shared" ref="AL42:AM42" si="32">IF($B$32=$B19,AL19,0)</f>
        <v>0</v>
      </c>
      <c r="AM42" s="10">
        <f t="shared" si="32"/>
        <v>0</v>
      </c>
    </row>
    <row r="43" spans="2:55" x14ac:dyDescent="0.25">
      <c r="B43" s="57" t="str">
        <f t="shared" si="20"/>
        <v>J</v>
      </c>
      <c r="C43" s="58">
        <f t="shared" ref="C43:U43" si="33">IF($B$32=$B20,C20,0)</f>
        <v>0</v>
      </c>
      <c r="D43" s="16">
        <f t="shared" si="33"/>
        <v>0</v>
      </c>
      <c r="E43" s="16">
        <f t="shared" si="33"/>
        <v>0</v>
      </c>
      <c r="F43" s="16">
        <f t="shared" si="33"/>
        <v>0</v>
      </c>
      <c r="G43" s="16">
        <f t="shared" si="33"/>
        <v>0</v>
      </c>
      <c r="H43" s="16">
        <f t="shared" si="33"/>
        <v>0</v>
      </c>
      <c r="I43" s="16">
        <f t="shared" si="33"/>
        <v>0</v>
      </c>
      <c r="J43" s="16">
        <f t="shared" si="33"/>
        <v>0</v>
      </c>
      <c r="K43" s="16">
        <f t="shared" si="33"/>
        <v>0</v>
      </c>
      <c r="L43" s="16">
        <f t="shared" si="33"/>
        <v>0</v>
      </c>
      <c r="M43" s="17">
        <f t="shared" si="33"/>
        <v>0</v>
      </c>
      <c r="N43" s="10">
        <f t="shared" si="33"/>
        <v>0</v>
      </c>
      <c r="O43" s="57">
        <f t="shared" si="33"/>
        <v>0</v>
      </c>
      <c r="P43" s="312">
        <f t="shared" si="33"/>
        <v>0</v>
      </c>
      <c r="Q43" s="17">
        <f t="shared" si="33"/>
        <v>0</v>
      </c>
      <c r="R43" s="16">
        <f t="shared" si="33"/>
        <v>0</v>
      </c>
      <c r="S43" s="16">
        <f t="shared" si="33"/>
        <v>0</v>
      </c>
      <c r="T43" s="16">
        <f t="shared" si="33"/>
        <v>0</v>
      </c>
      <c r="U43" s="10">
        <f t="shared" si="33"/>
        <v>0</v>
      </c>
      <c r="V43" s="58">
        <f t="shared" si="17"/>
        <v>0</v>
      </c>
      <c r="W43" s="313">
        <f t="shared" si="17"/>
        <v>0</v>
      </c>
      <c r="X43" s="313">
        <f t="shared" si="17"/>
        <v>0</v>
      </c>
      <c r="Y43" s="313">
        <f t="shared" si="17"/>
        <v>0</v>
      </c>
      <c r="Z43" s="313">
        <f t="shared" si="17"/>
        <v>0</v>
      </c>
      <c r="AA43" s="313">
        <f t="shared" si="17"/>
        <v>0</v>
      </c>
      <c r="AB43" s="313">
        <f t="shared" si="17"/>
        <v>0</v>
      </c>
      <c r="AC43" s="313">
        <f t="shared" si="17"/>
        <v>0</v>
      </c>
      <c r="AD43" s="313">
        <f t="shared" si="17"/>
        <v>0</v>
      </c>
      <c r="AE43" s="313">
        <f t="shared" si="17"/>
        <v>0</v>
      </c>
      <c r="AF43" s="313">
        <f t="shared" si="17"/>
        <v>0</v>
      </c>
      <c r="AG43" s="17">
        <f t="shared" si="17"/>
        <v>0</v>
      </c>
      <c r="AH43" s="16">
        <f t="shared" si="17"/>
        <v>0</v>
      </c>
      <c r="AI43" s="16">
        <f t="shared" si="17"/>
        <v>0</v>
      </c>
      <c r="AJ43" s="16">
        <f t="shared" si="17"/>
        <v>0</v>
      </c>
      <c r="AK43" s="16">
        <f t="shared" si="17"/>
        <v>0</v>
      </c>
      <c r="AL43" s="16">
        <f t="shared" ref="AL43:AM43" si="34">IF($B$32=$B20,AL20,0)</f>
        <v>0</v>
      </c>
      <c r="AM43" s="10">
        <f t="shared" si="34"/>
        <v>0</v>
      </c>
    </row>
    <row r="44" spans="2:55" x14ac:dyDescent="0.25">
      <c r="B44" s="57" t="str">
        <f t="shared" si="20"/>
        <v>K</v>
      </c>
      <c r="C44" s="58">
        <f t="shared" ref="C44:U44" si="35">IF($B$32=$B21,C21,0)</f>
        <v>0</v>
      </c>
      <c r="D44" s="16">
        <f t="shared" si="35"/>
        <v>0</v>
      </c>
      <c r="E44" s="16">
        <f t="shared" si="35"/>
        <v>0</v>
      </c>
      <c r="F44" s="16">
        <f t="shared" si="35"/>
        <v>0</v>
      </c>
      <c r="G44" s="16">
        <f t="shared" si="35"/>
        <v>0</v>
      </c>
      <c r="H44" s="16">
        <f t="shared" si="35"/>
        <v>0</v>
      </c>
      <c r="I44" s="16">
        <f t="shared" si="35"/>
        <v>0</v>
      </c>
      <c r="J44" s="16">
        <f t="shared" si="35"/>
        <v>0</v>
      </c>
      <c r="K44" s="16">
        <f t="shared" si="35"/>
        <v>0</v>
      </c>
      <c r="L44" s="16">
        <f t="shared" si="35"/>
        <v>0</v>
      </c>
      <c r="M44" s="17">
        <f t="shared" si="35"/>
        <v>0</v>
      </c>
      <c r="N44" s="10">
        <f t="shared" si="35"/>
        <v>0</v>
      </c>
      <c r="O44" s="57">
        <f t="shared" si="35"/>
        <v>0</v>
      </c>
      <c r="P44" s="312">
        <f t="shared" si="35"/>
        <v>0</v>
      </c>
      <c r="Q44" s="17">
        <f t="shared" si="35"/>
        <v>0</v>
      </c>
      <c r="R44" s="16">
        <f t="shared" si="35"/>
        <v>0</v>
      </c>
      <c r="S44" s="16">
        <f t="shared" si="35"/>
        <v>0</v>
      </c>
      <c r="T44" s="16">
        <f t="shared" si="35"/>
        <v>0</v>
      </c>
      <c r="U44" s="10">
        <f t="shared" si="35"/>
        <v>0</v>
      </c>
      <c r="V44" s="58">
        <f t="shared" si="17"/>
        <v>0</v>
      </c>
      <c r="W44" s="313">
        <f t="shared" si="17"/>
        <v>0</v>
      </c>
      <c r="X44" s="313">
        <f t="shared" si="17"/>
        <v>0</v>
      </c>
      <c r="Y44" s="313">
        <f t="shared" si="17"/>
        <v>0</v>
      </c>
      <c r="Z44" s="313">
        <f t="shared" si="17"/>
        <v>0</v>
      </c>
      <c r="AA44" s="313">
        <f t="shared" si="17"/>
        <v>0</v>
      </c>
      <c r="AB44" s="313">
        <f t="shared" si="17"/>
        <v>0</v>
      </c>
      <c r="AC44" s="313">
        <f t="shared" si="17"/>
        <v>0</v>
      </c>
      <c r="AD44" s="313">
        <f t="shared" si="17"/>
        <v>0</v>
      </c>
      <c r="AE44" s="313">
        <f t="shared" si="17"/>
        <v>0</v>
      </c>
      <c r="AF44" s="313">
        <f t="shared" si="17"/>
        <v>0</v>
      </c>
      <c r="AG44" s="17">
        <f t="shared" si="17"/>
        <v>0</v>
      </c>
      <c r="AH44" s="16">
        <f t="shared" si="17"/>
        <v>0</v>
      </c>
      <c r="AI44" s="16">
        <f t="shared" si="17"/>
        <v>0</v>
      </c>
      <c r="AJ44" s="16">
        <f t="shared" si="17"/>
        <v>0</v>
      </c>
      <c r="AK44" s="16">
        <f t="shared" si="17"/>
        <v>0</v>
      </c>
      <c r="AL44" s="16">
        <f t="shared" ref="AL44:AM44" si="36">IF($B$32=$B21,AL21,0)</f>
        <v>0</v>
      </c>
      <c r="AM44" s="10">
        <f t="shared" si="36"/>
        <v>0</v>
      </c>
    </row>
    <row r="45" spans="2:55" x14ac:dyDescent="0.25">
      <c r="B45" s="57" t="str">
        <f t="shared" si="20"/>
        <v xml:space="preserve">L </v>
      </c>
      <c r="C45" s="58">
        <f t="shared" ref="C45:U45" si="37">IF($B$32=$B22,C22,0)</f>
        <v>0</v>
      </c>
      <c r="D45" s="16">
        <f t="shared" si="37"/>
        <v>0</v>
      </c>
      <c r="E45" s="16">
        <f t="shared" si="37"/>
        <v>0</v>
      </c>
      <c r="F45" s="16">
        <f t="shared" si="37"/>
        <v>0</v>
      </c>
      <c r="G45" s="16">
        <f t="shared" si="37"/>
        <v>0</v>
      </c>
      <c r="H45" s="16">
        <f t="shared" si="37"/>
        <v>0</v>
      </c>
      <c r="I45" s="16">
        <f t="shared" si="37"/>
        <v>0</v>
      </c>
      <c r="J45" s="16">
        <f t="shared" si="37"/>
        <v>0</v>
      </c>
      <c r="K45" s="16">
        <f t="shared" si="37"/>
        <v>0</v>
      </c>
      <c r="L45" s="16">
        <f t="shared" si="37"/>
        <v>0</v>
      </c>
      <c r="M45" s="17">
        <f t="shared" si="37"/>
        <v>0</v>
      </c>
      <c r="N45" s="10">
        <f t="shared" si="37"/>
        <v>0</v>
      </c>
      <c r="O45" s="57">
        <f t="shared" si="37"/>
        <v>0</v>
      </c>
      <c r="P45" s="312">
        <f t="shared" si="37"/>
        <v>0</v>
      </c>
      <c r="Q45" s="17">
        <f t="shared" si="37"/>
        <v>0</v>
      </c>
      <c r="R45" s="16">
        <f t="shared" si="37"/>
        <v>0</v>
      </c>
      <c r="S45" s="16">
        <f t="shared" si="37"/>
        <v>0</v>
      </c>
      <c r="T45" s="16">
        <f t="shared" si="37"/>
        <v>0</v>
      </c>
      <c r="U45" s="10">
        <f t="shared" si="37"/>
        <v>0</v>
      </c>
      <c r="V45" s="58">
        <f t="shared" si="17"/>
        <v>0</v>
      </c>
      <c r="W45" s="313">
        <f t="shared" si="17"/>
        <v>0</v>
      </c>
      <c r="X45" s="313">
        <f t="shared" si="17"/>
        <v>0</v>
      </c>
      <c r="Y45" s="313">
        <f t="shared" si="17"/>
        <v>0</v>
      </c>
      <c r="Z45" s="313">
        <f t="shared" si="17"/>
        <v>0</v>
      </c>
      <c r="AA45" s="313">
        <f t="shared" si="17"/>
        <v>0</v>
      </c>
      <c r="AB45" s="313">
        <f t="shared" si="17"/>
        <v>0</v>
      </c>
      <c r="AC45" s="313">
        <f t="shared" si="17"/>
        <v>0</v>
      </c>
      <c r="AD45" s="313">
        <f t="shared" si="17"/>
        <v>0</v>
      </c>
      <c r="AE45" s="313">
        <f t="shared" si="17"/>
        <v>0</v>
      </c>
      <c r="AF45" s="313">
        <f t="shared" si="17"/>
        <v>0</v>
      </c>
      <c r="AG45" s="17">
        <f t="shared" si="17"/>
        <v>0</v>
      </c>
      <c r="AH45" s="16">
        <f t="shared" si="17"/>
        <v>0</v>
      </c>
      <c r="AI45" s="16">
        <f t="shared" si="17"/>
        <v>0</v>
      </c>
      <c r="AJ45" s="16">
        <f t="shared" si="17"/>
        <v>0</v>
      </c>
      <c r="AK45" s="16">
        <f t="shared" si="17"/>
        <v>0</v>
      </c>
      <c r="AL45" s="16">
        <f t="shared" ref="AL45:AM45" si="38">IF($B$32=$B22,AL22,0)</f>
        <v>0</v>
      </c>
      <c r="AM45" s="10">
        <f t="shared" si="38"/>
        <v>0</v>
      </c>
    </row>
    <row r="46" spans="2:55" x14ac:dyDescent="0.25">
      <c r="B46" s="57" t="str">
        <f t="shared" si="20"/>
        <v xml:space="preserve">M </v>
      </c>
      <c r="C46" s="58">
        <f t="shared" ref="C46:U46" si="39">IF($B$32=$B23,C23,0)</f>
        <v>0</v>
      </c>
      <c r="D46" s="16">
        <f t="shared" si="39"/>
        <v>0</v>
      </c>
      <c r="E46" s="16">
        <f t="shared" si="39"/>
        <v>0</v>
      </c>
      <c r="F46" s="16">
        <f t="shared" si="39"/>
        <v>0</v>
      </c>
      <c r="G46" s="16">
        <f t="shared" si="39"/>
        <v>0</v>
      </c>
      <c r="H46" s="16">
        <f t="shared" si="39"/>
        <v>0</v>
      </c>
      <c r="I46" s="16">
        <f t="shared" si="39"/>
        <v>0</v>
      </c>
      <c r="J46" s="16">
        <f t="shared" si="39"/>
        <v>0</v>
      </c>
      <c r="K46" s="16">
        <f t="shared" si="39"/>
        <v>0</v>
      </c>
      <c r="L46" s="16">
        <f t="shared" si="39"/>
        <v>0</v>
      </c>
      <c r="M46" s="17">
        <f t="shared" si="39"/>
        <v>0</v>
      </c>
      <c r="N46" s="10">
        <f t="shared" si="39"/>
        <v>0</v>
      </c>
      <c r="O46" s="57">
        <f t="shared" si="39"/>
        <v>0</v>
      </c>
      <c r="P46" s="312">
        <f t="shared" si="39"/>
        <v>0</v>
      </c>
      <c r="Q46" s="17">
        <f t="shared" si="39"/>
        <v>0</v>
      </c>
      <c r="R46" s="16">
        <f t="shared" si="39"/>
        <v>0</v>
      </c>
      <c r="S46" s="16">
        <f t="shared" si="39"/>
        <v>0</v>
      </c>
      <c r="T46" s="16">
        <f t="shared" si="39"/>
        <v>0</v>
      </c>
      <c r="U46" s="10">
        <f t="shared" si="39"/>
        <v>0</v>
      </c>
      <c r="V46" s="58">
        <f t="shared" si="17"/>
        <v>0</v>
      </c>
      <c r="W46" s="313">
        <f t="shared" si="17"/>
        <v>0</v>
      </c>
      <c r="X46" s="313">
        <f t="shared" si="17"/>
        <v>0</v>
      </c>
      <c r="Y46" s="313">
        <f t="shared" si="17"/>
        <v>0</v>
      </c>
      <c r="Z46" s="313">
        <f t="shared" si="17"/>
        <v>0</v>
      </c>
      <c r="AA46" s="313">
        <f t="shared" si="17"/>
        <v>0</v>
      </c>
      <c r="AB46" s="313">
        <f t="shared" si="17"/>
        <v>0</v>
      </c>
      <c r="AC46" s="313">
        <f t="shared" si="17"/>
        <v>0</v>
      </c>
      <c r="AD46" s="313">
        <f t="shared" si="17"/>
        <v>0</v>
      </c>
      <c r="AE46" s="313">
        <f t="shared" si="17"/>
        <v>0</v>
      </c>
      <c r="AF46" s="313">
        <f t="shared" si="17"/>
        <v>0</v>
      </c>
      <c r="AG46" s="17">
        <f t="shared" si="17"/>
        <v>0</v>
      </c>
      <c r="AH46" s="16">
        <f t="shared" si="17"/>
        <v>0</v>
      </c>
      <c r="AI46" s="16">
        <f t="shared" si="17"/>
        <v>0</v>
      </c>
      <c r="AJ46" s="16">
        <f t="shared" si="17"/>
        <v>0</v>
      </c>
      <c r="AK46" s="16">
        <f t="shared" si="17"/>
        <v>0</v>
      </c>
      <c r="AL46" s="16">
        <f t="shared" ref="AL46:AM46" si="40">IF($B$32=$B23,AL23,0)</f>
        <v>0</v>
      </c>
      <c r="AM46" s="10">
        <f t="shared" si="40"/>
        <v>0</v>
      </c>
      <c r="AO46" s="318"/>
      <c r="AP46" s="318"/>
      <c r="AQ46" s="318"/>
      <c r="AR46" s="318"/>
      <c r="AS46" s="318"/>
      <c r="AT46" s="318"/>
      <c r="AU46" s="318"/>
      <c r="AV46" s="318"/>
      <c r="AW46" s="318"/>
      <c r="AX46" s="318"/>
      <c r="AY46" s="318"/>
      <c r="AZ46" s="318"/>
      <c r="BA46" s="318"/>
      <c r="BB46" s="23"/>
      <c r="BC46" s="23"/>
    </row>
    <row r="47" spans="2:55" ht="13.8" thickBot="1" x14ac:dyDescent="0.3">
      <c r="B47" s="59" t="str">
        <f>B24</f>
        <v>N</v>
      </c>
      <c r="C47" s="58">
        <f t="shared" ref="C47:U47" si="41">IF($B$32=$B24,C24,0)</f>
        <v>0</v>
      </c>
      <c r="D47" s="16">
        <f t="shared" si="41"/>
        <v>0</v>
      </c>
      <c r="E47" s="16">
        <f t="shared" si="41"/>
        <v>0</v>
      </c>
      <c r="F47" s="16">
        <f t="shared" si="41"/>
        <v>0</v>
      </c>
      <c r="G47" s="16">
        <f t="shared" si="41"/>
        <v>0</v>
      </c>
      <c r="H47" s="16">
        <f t="shared" si="41"/>
        <v>0</v>
      </c>
      <c r="I47" s="16">
        <f t="shared" si="41"/>
        <v>0</v>
      </c>
      <c r="J47" s="16">
        <f t="shared" si="41"/>
        <v>0</v>
      </c>
      <c r="K47" s="16">
        <f t="shared" si="41"/>
        <v>0</v>
      </c>
      <c r="L47" s="16">
        <f t="shared" si="41"/>
        <v>0</v>
      </c>
      <c r="M47" s="17">
        <f t="shared" si="41"/>
        <v>0</v>
      </c>
      <c r="N47" s="10">
        <f t="shared" si="41"/>
        <v>0</v>
      </c>
      <c r="O47" s="57">
        <f t="shared" si="41"/>
        <v>0</v>
      </c>
      <c r="P47" s="312">
        <f t="shared" si="41"/>
        <v>0</v>
      </c>
      <c r="Q47" s="17">
        <f t="shared" si="41"/>
        <v>0</v>
      </c>
      <c r="R47" s="16">
        <f t="shared" si="41"/>
        <v>0</v>
      </c>
      <c r="S47" s="16">
        <f t="shared" si="41"/>
        <v>0</v>
      </c>
      <c r="T47" s="16">
        <f t="shared" si="41"/>
        <v>0</v>
      </c>
      <c r="U47" s="10">
        <f t="shared" si="41"/>
        <v>0</v>
      </c>
      <c r="V47" s="58">
        <f t="shared" si="17"/>
        <v>0</v>
      </c>
      <c r="W47" s="313">
        <f t="shared" si="17"/>
        <v>0</v>
      </c>
      <c r="X47" s="313">
        <f t="shared" si="17"/>
        <v>0</v>
      </c>
      <c r="Y47" s="313">
        <f t="shared" si="17"/>
        <v>0</v>
      </c>
      <c r="Z47" s="313">
        <f t="shared" si="17"/>
        <v>0</v>
      </c>
      <c r="AA47" s="313">
        <f t="shared" si="17"/>
        <v>0</v>
      </c>
      <c r="AB47" s="313">
        <f t="shared" si="17"/>
        <v>0</v>
      </c>
      <c r="AC47" s="313">
        <f t="shared" si="17"/>
        <v>0</v>
      </c>
      <c r="AD47" s="313">
        <f t="shared" si="17"/>
        <v>0</v>
      </c>
      <c r="AE47" s="313">
        <f t="shared" si="17"/>
        <v>0</v>
      </c>
      <c r="AF47" s="313">
        <f t="shared" si="17"/>
        <v>0</v>
      </c>
      <c r="AG47" s="17">
        <f t="shared" si="17"/>
        <v>0</v>
      </c>
      <c r="AH47" s="16">
        <f t="shared" si="17"/>
        <v>0</v>
      </c>
      <c r="AI47" s="16">
        <f t="shared" si="17"/>
        <v>0</v>
      </c>
      <c r="AJ47" s="16">
        <f t="shared" si="17"/>
        <v>0</v>
      </c>
      <c r="AK47" s="16">
        <f t="shared" si="17"/>
        <v>0</v>
      </c>
      <c r="AL47" s="16">
        <f t="shared" ref="AL47:AM47" si="42">IF($B$32=$B24,AL24,0)</f>
        <v>0</v>
      </c>
      <c r="AM47" s="10">
        <f t="shared" si="42"/>
        <v>0</v>
      </c>
      <c r="AO47" s="318"/>
      <c r="AP47" s="318"/>
      <c r="AQ47" s="318"/>
      <c r="AR47" s="318"/>
      <c r="AS47" s="318"/>
      <c r="AT47" s="318"/>
      <c r="AU47" s="318"/>
      <c r="AV47" s="318"/>
      <c r="AW47" s="318"/>
      <c r="AX47" s="318"/>
      <c r="AY47" s="318"/>
      <c r="AZ47" s="318"/>
      <c r="BA47" s="318"/>
      <c r="BB47" s="23"/>
      <c r="BC47" s="23"/>
    </row>
    <row r="48" spans="2:55" ht="21" customHeight="1" thickBot="1" x14ac:dyDescent="0.3">
      <c r="B48" s="457" t="str">
        <f>B32</f>
        <v>c</v>
      </c>
      <c r="C48" s="458">
        <f t="shared" ref="C48:AM48" si="43">MAX(C35:C47)</f>
        <v>17.5</v>
      </c>
      <c r="D48" s="459">
        <f t="shared" si="43"/>
        <v>0.35</v>
      </c>
      <c r="E48" s="459">
        <f t="shared" si="43"/>
        <v>16.75</v>
      </c>
      <c r="F48" s="459">
        <f t="shared" si="43"/>
        <v>14.75</v>
      </c>
      <c r="G48" s="459">
        <f t="shared" si="43"/>
        <v>4.5999999999999996</v>
      </c>
      <c r="H48" s="459">
        <f t="shared" si="43"/>
        <v>0.85</v>
      </c>
      <c r="I48" s="459">
        <f t="shared" si="43"/>
        <v>0.56000000000000005</v>
      </c>
      <c r="J48" s="459">
        <f t="shared" si="43"/>
        <v>0.7</v>
      </c>
      <c r="K48" s="459">
        <f t="shared" si="43"/>
        <v>53</v>
      </c>
      <c r="L48" s="459">
        <f t="shared" si="43"/>
        <v>55</v>
      </c>
      <c r="M48" s="461">
        <f t="shared" si="43"/>
        <v>573.20128484764518</v>
      </c>
      <c r="N48" s="462">
        <f t="shared" si="43"/>
        <v>13.446103985419867</v>
      </c>
      <c r="O48" s="463">
        <f t="shared" si="43"/>
        <v>0.55074790217474523</v>
      </c>
      <c r="P48" s="429">
        <f t="shared" si="43"/>
        <v>0</v>
      </c>
      <c r="Q48" s="461">
        <f t="shared" si="43"/>
        <v>2.2297753662360469</v>
      </c>
      <c r="R48" s="459">
        <f t="shared" si="43"/>
        <v>0.12</v>
      </c>
      <c r="S48" s="459">
        <f t="shared" si="43"/>
        <v>2.0067978296124425</v>
      </c>
      <c r="T48" s="459">
        <f t="shared" si="43"/>
        <v>0.1</v>
      </c>
      <c r="U48" s="462">
        <f t="shared" si="43"/>
        <v>2.2536712621213266</v>
      </c>
      <c r="V48" s="458">
        <f t="shared" si="43"/>
        <v>5375</v>
      </c>
      <c r="W48" s="460">
        <f t="shared" si="43"/>
        <v>11300</v>
      </c>
      <c r="X48" s="460">
        <f t="shared" si="43"/>
        <v>0</v>
      </c>
      <c r="Y48" s="460">
        <f t="shared" si="43"/>
        <v>0</v>
      </c>
      <c r="Z48" s="460">
        <f t="shared" si="43"/>
        <v>0</v>
      </c>
      <c r="AA48" s="460">
        <f t="shared" si="43"/>
        <v>0</v>
      </c>
      <c r="AB48" s="460">
        <f t="shared" si="43"/>
        <v>0</v>
      </c>
      <c r="AC48" s="460">
        <f t="shared" si="43"/>
        <v>0</v>
      </c>
      <c r="AD48" s="460">
        <f t="shared" si="43"/>
        <v>2.78</v>
      </c>
      <c r="AE48" s="460">
        <f t="shared" si="43"/>
        <v>0.26500000000000001</v>
      </c>
      <c r="AF48" s="460">
        <f t="shared" si="43"/>
        <v>4.32</v>
      </c>
      <c r="AG48" s="461">
        <f t="shared" si="43"/>
        <v>1</v>
      </c>
      <c r="AH48" s="459">
        <f t="shared" si="43"/>
        <v>1.171065469228981</v>
      </c>
      <c r="AI48" s="459">
        <f t="shared" si="43"/>
        <v>0.12</v>
      </c>
      <c r="AJ48" s="459">
        <f t="shared" si="43"/>
        <v>1.053958922306083</v>
      </c>
      <c r="AK48" s="459">
        <f t="shared" si="43"/>
        <v>0.1</v>
      </c>
      <c r="AL48" s="459">
        <f t="shared" si="43"/>
        <v>2.0025219523815574</v>
      </c>
      <c r="AM48" s="462">
        <f t="shared" si="43"/>
        <v>2400</v>
      </c>
      <c r="AO48" s="318"/>
      <c r="AP48" s="318"/>
      <c r="AQ48" s="318"/>
      <c r="AR48" s="318"/>
      <c r="AS48" s="318"/>
      <c r="AT48" s="318"/>
      <c r="AU48" s="318"/>
      <c r="AV48" s="318"/>
      <c r="AW48" s="318"/>
      <c r="AX48" s="318"/>
      <c r="AY48" s="318"/>
      <c r="AZ48" s="318"/>
      <c r="BA48" s="318"/>
      <c r="BB48" s="23"/>
      <c r="BC48" s="23"/>
    </row>
    <row r="49" spans="2:55" x14ac:dyDescent="0.2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18"/>
      <c r="S49" s="318"/>
      <c r="T49" s="318"/>
      <c r="U49" s="318"/>
      <c r="V49" s="318"/>
      <c r="W49" s="318"/>
      <c r="X49" s="318"/>
      <c r="Y49" s="318"/>
      <c r="Z49" s="318"/>
      <c r="AA49" s="318"/>
      <c r="AB49" s="318"/>
      <c r="AC49" s="318"/>
      <c r="AD49" s="318"/>
      <c r="AE49" s="318"/>
      <c r="AF49" s="318"/>
      <c r="AG49" s="318"/>
      <c r="AH49" s="318"/>
      <c r="AI49" s="318"/>
      <c r="AJ49" s="318"/>
      <c r="AK49" s="318"/>
      <c r="AL49" s="318"/>
      <c r="AM49" s="318"/>
      <c r="AN49" s="318"/>
      <c r="AO49" s="318"/>
      <c r="AP49" s="318"/>
      <c r="AQ49" s="318"/>
      <c r="AR49" s="318"/>
      <c r="AS49" s="318"/>
      <c r="AT49" s="318"/>
      <c r="AU49" s="318"/>
      <c r="AV49" s="318"/>
      <c r="AW49" s="318"/>
      <c r="AX49" s="318"/>
      <c r="AY49" s="318"/>
      <c r="AZ49" s="318"/>
      <c r="BA49" s="318"/>
      <c r="BB49" s="23"/>
      <c r="BC49" s="23"/>
    </row>
    <row r="50" spans="2:55" x14ac:dyDescent="0.25"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18"/>
      <c r="S50" s="318"/>
      <c r="T50" s="318"/>
      <c r="U50" s="318"/>
      <c r="V50" s="318"/>
      <c r="W50" s="318"/>
      <c r="X50" s="318"/>
      <c r="Y50" s="318"/>
      <c r="Z50" s="318"/>
      <c r="AA50" s="318"/>
      <c r="AB50" s="318"/>
      <c r="AC50" s="318"/>
      <c r="AD50" s="318"/>
      <c r="AE50" s="318"/>
      <c r="AF50" s="318"/>
      <c r="AG50" s="318"/>
      <c r="AH50" s="318"/>
      <c r="AI50" s="318"/>
      <c r="AJ50" s="318"/>
      <c r="AK50" s="318"/>
      <c r="AL50" s="318"/>
      <c r="AM50" s="318"/>
      <c r="AN50" s="318"/>
      <c r="AO50" s="318"/>
      <c r="AP50" s="318"/>
      <c r="AQ50" s="318"/>
      <c r="AR50" s="318"/>
      <c r="AS50" s="318"/>
      <c r="AT50" s="318"/>
      <c r="AU50" s="318"/>
      <c r="AV50" s="318"/>
      <c r="AW50" s="318"/>
      <c r="AX50" s="318"/>
      <c r="AY50" s="318"/>
      <c r="AZ50" s="318"/>
      <c r="BA50" s="318"/>
      <c r="BB50" s="23"/>
      <c r="BC50" s="23"/>
    </row>
    <row r="51" spans="2:55" x14ac:dyDescent="0.25">
      <c r="B51" s="731" t="s">
        <v>400</v>
      </c>
      <c r="C51">
        <f>G12*H12</f>
        <v>3.9099999999999997</v>
      </c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291"/>
      <c r="S51" s="318"/>
      <c r="T51" s="318"/>
      <c r="U51" s="318"/>
      <c r="V51" s="318"/>
      <c r="W51" s="318"/>
      <c r="X51" s="318"/>
      <c r="Y51" s="318"/>
      <c r="Z51" s="318"/>
      <c r="AA51" s="318"/>
      <c r="AB51" s="318"/>
      <c r="AC51" s="318"/>
      <c r="AD51" s="318"/>
      <c r="AE51" s="318"/>
      <c r="AF51" s="318"/>
      <c r="AG51" s="318"/>
      <c r="AH51" s="318"/>
      <c r="AI51" s="318"/>
      <c r="AJ51" s="318"/>
      <c r="AK51" s="318"/>
      <c r="AL51" s="318"/>
      <c r="AM51" s="318"/>
      <c r="AN51" s="318"/>
      <c r="AO51" s="318"/>
      <c r="AP51" s="318"/>
      <c r="AQ51" s="318"/>
      <c r="AR51" s="318"/>
      <c r="AS51" s="318"/>
      <c r="AT51" s="318"/>
      <c r="AU51" s="318"/>
      <c r="AV51" s="318"/>
      <c r="AW51" s="318"/>
      <c r="AX51" s="318"/>
      <c r="AY51" s="318"/>
      <c r="AZ51" s="318"/>
      <c r="BA51" s="318"/>
      <c r="BB51" s="23"/>
      <c r="BC51" s="23"/>
    </row>
    <row r="52" spans="2:55" x14ac:dyDescent="0.25">
      <c r="B52" s="731" t="s">
        <v>402</v>
      </c>
      <c r="C52">
        <v>750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18"/>
      <c r="S52" s="318"/>
      <c r="T52" s="318"/>
      <c r="U52" s="318"/>
      <c r="V52" s="318"/>
      <c r="W52" s="318"/>
      <c r="X52" s="318"/>
      <c r="Y52" s="318"/>
      <c r="Z52" s="318"/>
      <c r="AA52" s="318"/>
      <c r="AB52" s="318"/>
      <c r="AC52" s="318"/>
      <c r="AD52" s="318"/>
      <c r="AE52" s="318"/>
      <c r="AF52" s="318"/>
      <c r="AG52" s="318"/>
      <c r="AH52" s="318"/>
      <c r="AI52" s="318"/>
      <c r="AJ52" s="318"/>
      <c r="AK52" s="318"/>
      <c r="AL52" s="318"/>
      <c r="AM52" s="318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</row>
    <row r="53" spans="2:55" x14ac:dyDescent="0.25">
      <c r="B53" s="729" t="s">
        <v>420</v>
      </c>
      <c r="C53">
        <v>1.53</v>
      </c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</row>
    <row r="54" spans="2:55" x14ac:dyDescent="0.25">
      <c r="B54" t="s">
        <v>596</v>
      </c>
      <c r="C54">
        <f>(27-20)/20*C53</f>
        <v>0.53549999999999998</v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</row>
    <row r="55" spans="2:55" x14ac:dyDescent="0.25">
      <c r="B55" t="str">
        <f>'YD 40 VCG'!B19</f>
        <v>VCG</v>
      </c>
      <c r="C55">
        <f>'YD 40 VCG'!C19</f>
        <v>0.24100691830522972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</row>
    <row r="56" spans="2:55" x14ac:dyDescent="0.25">
      <c r="B56" s="729" t="s">
        <v>421</v>
      </c>
      <c r="C56">
        <v>3.5</v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</row>
    <row r="57" spans="2:55" x14ac:dyDescent="0.25">
      <c r="B57" s="729" t="s">
        <v>430</v>
      </c>
      <c r="C57" s="749">
        <v>0.03</v>
      </c>
      <c r="D57" t="str">
        <f>'YD 40 VCG'!D19</f>
        <v>Of D, above wl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</row>
    <row r="58" spans="2:55" x14ac:dyDescent="0.25">
      <c r="B58" s="729" t="s">
        <v>431</v>
      </c>
      <c r="C58" s="749">
        <v>1.4E-2</v>
      </c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</row>
    <row r="59" spans="2:55" x14ac:dyDescent="0.25">
      <c r="B59" s="733" t="s">
        <v>432</v>
      </c>
      <c r="C59" s="1">
        <v>0.9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</row>
    <row r="60" spans="2:55" x14ac:dyDescent="0.25">
      <c r="B60" s="733" t="s">
        <v>433</v>
      </c>
      <c r="C60" s="1">
        <v>1.8</v>
      </c>
      <c r="D60" s="1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</row>
    <row r="61" spans="2:55" x14ac:dyDescent="0.25">
      <c r="B61" s="733" t="s">
        <v>435</v>
      </c>
      <c r="C61" s="1">
        <v>0.9</v>
      </c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</row>
    <row r="62" spans="2:55" x14ac:dyDescent="0.25"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</row>
  </sheetData>
  <sheetProtection selectLockedCells="1"/>
  <mergeCells count="19">
    <mergeCell ref="G28:H28"/>
    <mergeCell ref="G29:H29"/>
    <mergeCell ref="K26:M27"/>
    <mergeCell ref="AG33:AM33"/>
    <mergeCell ref="B5:C7"/>
    <mergeCell ref="M10:N10"/>
    <mergeCell ref="Q10:U10"/>
    <mergeCell ref="D5:D7"/>
    <mergeCell ref="AG10:AM10"/>
    <mergeCell ref="M33:N33"/>
    <mergeCell ref="Q33:U33"/>
    <mergeCell ref="V33:W33"/>
    <mergeCell ref="X33:AC33"/>
    <mergeCell ref="G5:U7"/>
    <mergeCell ref="B10:L10"/>
    <mergeCell ref="V10:AF10"/>
    <mergeCell ref="B33:L33"/>
    <mergeCell ref="G26:I26"/>
    <mergeCell ref="G27:H27"/>
  </mergeCells>
  <dataValidations count="1">
    <dataValidation type="list" allowBlank="1" showInputMessage="1" showErrorMessage="1" sqref="D5">
      <formula1>$B$12:$B$24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workbookViewId="0">
      <selection activeCell="E27" sqref="E27"/>
    </sheetView>
  </sheetViews>
  <sheetFormatPr defaultRowHeight="13.2" x14ac:dyDescent="0.25"/>
  <cols>
    <col min="1" max="1" width="4.6640625" customWidth="1"/>
    <col min="2" max="2" width="35.6640625" customWidth="1"/>
    <col min="3" max="3" width="10.6640625" customWidth="1"/>
    <col min="5" max="5" width="35.6640625" customWidth="1"/>
    <col min="6" max="7" width="10.6640625" customWidth="1"/>
    <col min="8" max="8" width="22.109375" customWidth="1"/>
    <col min="9" max="10" width="10.6640625" customWidth="1"/>
    <col min="11" max="11" width="4" customWidth="1"/>
    <col min="12" max="17" width="15.6640625" customWidth="1"/>
  </cols>
  <sheetData>
    <row r="1" spans="1:18" ht="13.8" thickBot="1" x14ac:dyDescent="0.3">
      <c r="A1" s="319"/>
      <c r="B1" s="320"/>
      <c r="C1" s="320"/>
      <c r="D1" s="320"/>
      <c r="E1" s="321"/>
      <c r="F1" s="321"/>
      <c r="G1" s="321"/>
      <c r="H1" s="321"/>
      <c r="I1" s="321"/>
      <c r="J1" s="321"/>
      <c r="K1" s="322"/>
      <c r="L1" s="6"/>
      <c r="M1" s="6"/>
      <c r="N1" s="6"/>
      <c r="O1" s="6"/>
      <c r="P1" s="6"/>
      <c r="Q1" s="6"/>
      <c r="R1" s="1"/>
    </row>
    <row r="2" spans="1:18" ht="13.8" thickBot="1" x14ac:dyDescent="0.3">
      <c r="A2" s="323"/>
      <c r="B2" s="324" t="s">
        <v>2</v>
      </c>
      <c r="C2" s="325"/>
      <c r="D2" s="326"/>
      <c r="E2" s="327" t="s">
        <v>26</v>
      </c>
      <c r="F2" s="328">
        <f>C3/1.025</f>
        <v>9.7560975609756113</v>
      </c>
      <c r="G2" s="329"/>
      <c r="H2" s="330" t="s">
        <v>59</v>
      </c>
      <c r="I2" s="331"/>
      <c r="J2" s="329"/>
      <c r="K2" s="332"/>
      <c r="L2" s="7"/>
      <c r="M2" s="7"/>
      <c r="N2" s="7"/>
      <c r="O2" s="7"/>
      <c r="P2" s="7"/>
      <c r="Q2" s="7"/>
      <c r="R2" s="1"/>
    </row>
    <row r="3" spans="1:18" ht="13.8" thickBot="1" x14ac:dyDescent="0.3">
      <c r="A3" s="323"/>
      <c r="B3" s="333" t="s">
        <v>3</v>
      </c>
      <c r="C3" s="334">
        <v>10</v>
      </c>
      <c r="D3" s="326"/>
      <c r="E3" s="335" t="s">
        <v>27</v>
      </c>
      <c r="F3" s="336">
        <f>F2-C13-C19-C28-C39</f>
        <v>9.2940495609756102</v>
      </c>
      <c r="G3" s="337"/>
      <c r="H3" s="338" t="s">
        <v>58</v>
      </c>
      <c r="I3" s="339">
        <f>F40</f>
        <v>-0.25285816779198467</v>
      </c>
      <c r="J3" s="337"/>
      <c r="K3" s="340"/>
      <c r="L3" s="3"/>
      <c r="M3" s="3"/>
      <c r="N3" s="3"/>
      <c r="O3" s="3"/>
      <c r="P3" s="3"/>
      <c r="Q3" s="3"/>
      <c r="R3" s="1"/>
    </row>
    <row r="4" spans="1:18" ht="13.8" thickBot="1" x14ac:dyDescent="0.3">
      <c r="A4" s="323"/>
      <c r="B4" s="341" t="s">
        <v>18</v>
      </c>
      <c r="C4" s="342">
        <v>0.4</v>
      </c>
      <c r="D4" s="326"/>
      <c r="E4" s="326"/>
      <c r="F4" s="326"/>
      <c r="G4" s="326"/>
      <c r="H4" s="343" t="s">
        <v>60</v>
      </c>
      <c r="I4" s="344">
        <f>F29</f>
        <v>-0.23248408707414686</v>
      </c>
      <c r="J4" s="326"/>
      <c r="K4" s="345"/>
      <c r="L4" s="1"/>
      <c r="M4" s="1"/>
      <c r="N4" s="1"/>
      <c r="O4" s="1"/>
      <c r="P4" s="1"/>
      <c r="Q4" s="1"/>
      <c r="R4" s="1"/>
    </row>
    <row r="5" spans="1:18" ht="13.8" thickBot="1" x14ac:dyDescent="0.3">
      <c r="A5" s="323"/>
      <c r="B5" s="346" t="s">
        <v>62</v>
      </c>
      <c r="C5" s="347">
        <f>F9/F2^0.3333</f>
        <v>5.8503827156921515</v>
      </c>
      <c r="D5" s="326"/>
      <c r="E5" s="326"/>
      <c r="F5" s="326"/>
      <c r="G5" s="326"/>
      <c r="H5" s="348" t="s">
        <v>61</v>
      </c>
      <c r="I5" s="349">
        <f>F28</f>
        <v>1.5344493184482806</v>
      </c>
      <c r="J5" s="326"/>
      <c r="K5" s="345"/>
      <c r="L5" s="1"/>
      <c r="M5" s="1"/>
      <c r="N5" s="1"/>
      <c r="O5" s="1"/>
      <c r="P5" s="1"/>
      <c r="Q5" s="1"/>
      <c r="R5" s="1"/>
    </row>
    <row r="6" spans="1:18" ht="13.8" thickBot="1" x14ac:dyDescent="0.3">
      <c r="A6" s="323"/>
      <c r="B6" s="326"/>
      <c r="C6" s="326"/>
      <c r="D6" s="326"/>
      <c r="E6" s="326"/>
      <c r="F6" s="326"/>
      <c r="G6" s="326"/>
      <c r="H6" s="350" t="s">
        <v>0</v>
      </c>
      <c r="I6" s="351">
        <f>I4+I5-I3</f>
        <v>1.5548233991661182</v>
      </c>
      <c r="J6" s="326"/>
      <c r="K6" s="345"/>
    </row>
    <row r="7" spans="1:18" ht="13.8" thickBot="1" x14ac:dyDescent="0.3">
      <c r="A7" s="323"/>
      <c r="B7" s="324" t="s">
        <v>12</v>
      </c>
      <c r="C7" s="325"/>
      <c r="D7" s="326"/>
      <c r="E7" s="324" t="s">
        <v>28</v>
      </c>
      <c r="F7" s="325"/>
      <c r="G7" s="326"/>
      <c r="H7" s="326"/>
      <c r="I7" s="326"/>
      <c r="J7" s="326"/>
      <c r="K7" s="345"/>
    </row>
    <row r="8" spans="1:18" ht="13.8" thickBot="1" x14ac:dyDescent="0.3">
      <c r="A8" s="323"/>
      <c r="B8" s="333" t="s">
        <v>4</v>
      </c>
      <c r="C8" s="334">
        <v>1</v>
      </c>
      <c r="D8" s="326"/>
      <c r="E8" s="352" t="s">
        <v>31</v>
      </c>
      <c r="F8" s="353">
        <v>15</v>
      </c>
      <c r="G8" s="326"/>
      <c r="H8" s="848" t="s">
        <v>63</v>
      </c>
      <c r="I8" s="849"/>
      <c r="J8" s="850"/>
      <c r="K8" s="345"/>
    </row>
    <row r="9" spans="1:18" x14ac:dyDescent="0.25">
      <c r="A9" s="323"/>
      <c r="B9" s="354" t="s">
        <v>5</v>
      </c>
      <c r="C9" s="355">
        <v>0.12</v>
      </c>
      <c r="D9" s="326"/>
      <c r="E9" s="354" t="s">
        <v>29</v>
      </c>
      <c r="F9" s="355">
        <v>12.5</v>
      </c>
      <c r="G9" s="326"/>
      <c r="H9" s="356"/>
      <c r="I9" s="357"/>
      <c r="J9" s="358"/>
      <c r="K9" s="345"/>
    </row>
    <row r="10" spans="1:18" x14ac:dyDescent="0.25">
      <c r="A10" s="323"/>
      <c r="B10" s="354" t="s">
        <v>6</v>
      </c>
      <c r="C10" s="355">
        <v>0.8</v>
      </c>
      <c r="D10" s="326"/>
      <c r="E10" s="354" t="s">
        <v>32</v>
      </c>
      <c r="F10" s="355">
        <v>4</v>
      </c>
      <c r="G10" s="326"/>
      <c r="H10" s="359" t="s">
        <v>64</v>
      </c>
      <c r="I10" s="360" t="s">
        <v>65</v>
      </c>
      <c r="J10" s="361" t="s">
        <v>66</v>
      </c>
      <c r="K10" s="345"/>
    </row>
    <row r="11" spans="1:18" ht="13.8" thickBot="1" x14ac:dyDescent="0.3">
      <c r="A11" s="323"/>
      <c r="B11" s="354" t="s">
        <v>7</v>
      </c>
      <c r="C11" s="355">
        <v>0.1</v>
      </c>
      <c r="D11" s="326"/>
      <c r="E11" s="362" t="s">
        <v>30</v>
      </c>
      <c r="F11" s="363">
        <v>0.8</v>
      </c>
      <c r="G11" s="326"/>
      <c r="H11" s="364"/>
      <c r="I11" s="360"/>
      <c r="J11" s="361" t="s">
        <v>67</v>
      </c>
      <c r="K11" s="345"/>
    </row>
    <row r="12" spans="1:18" ht="13.8" thickBot="1" x14ac:dyDescent="0.3">
      <c r="A12" s="323"/>
      <c r="B12" s="354" t="s">
        <v>8</v>
      </c>
      <c r="C12" s="363">
        <v>1.5</v>
      </c>
      <c r="D12" s="326"/>
      <c r="E12" s="352" t="s">
        <v>37</v>
      </c>
      <c r="F12" s="365">
        <f>F11*F10</f>
        <v>3.2</v>
      </c>
      <c r="G12" s="326"/>
      <c r="H12" s="359">
        <v>0</v>
      </c>
      <c r="I12" s="366">
        <f>$I$6*SIN((H12*PI())/180)*COS((H12*PI())/180)</f>
        <v>0</v>
      </c>
      <c r="J12" s="367">
        <f>$C$3*9.81*I12</f>
        <v>0</v>
      </c>
      <c r="K12" s="345"/>
    </row>
    <row r="13" spans="1:18" x14ac:dyDescent="0.25">
      <c r="A13" s="323"/>
      <c r="B13" s="354" t="s">
        <v>19</v>
      </c>
      <c r="C13" s="368">
        <f>0.5*0.66*((C8*C8*C9)+(C10*C10*C11))*C12</f>
        <v>9.1080000000000008E-2</v>
      </c>
      <c r="D13" s="326"/>
      <c r="E13" s="354" t="s">
        <v>35</v>
      </c>
      <c r="F13" s="369">
        <f>F8/F10</f>
        <v>3.75</v>
      </c>
      <c r="G13" s="326"/>
      <c r="H13" s="359">
        <v>2</v>
      </c>
      <c r="I13" s="366">
        <f t="shared" ref="I13:I32" si="0">$I$6*SIN((H13*PI())/180)*COS((H13*PI())/180)</f>
        <v>5.4229498810341489E-2</v>
      </c>
      <c r="J13" s="367">
        <f t="shared" ref="J13:J32" si="1">$C$3*9.81*I13</f>
        <v>5.3199138332945006</v>
      </c>
      <c r="K13" s="345"/>
    </row>
    <row r="14" spans="1:18" ht="13.8" thickBot="1" x14ac:dyDescent="0.3">
      <c r="A14" s="323"/>
      <c r="B14" s="341" t="s">
        <v>20</v>
      </c>
      <c r="C14" s="370">
        <f>((C3*1000)*C4)-C17</f>
        <v>1000</v>
      </c>
      <c r="D14" s="326"/>
      <c r="E14" s="341" t="s">
        <v>36</v>
      </c>
      <c r="F14" s="371">
        <f>F9/F12</f>
        <v>3.90625</v>
      </c>
      <c r="G14" s="326"/>
      <c r="H14" s="359">
        <v>4</v>
      </c>
      <c r="I14" s="366">
        <f t="shared" si="0"/>
        <v>0.10819479695360915</v>
      </c>
      <c r="J14" s="367">
        <f t="shared" si="1"/>
        <v>10.613909581149057</v>
      </c>
      <c r="K14" s="345"/>
    </row>
    <row r="15" spans="1:18" ht="13.8" thickBot="1" x14ac:dyDescent="0.3">
      <c r="A15" s="323"/>
      <c r="B15" s="326"/>
      <c r="C15" s="326"/>
      <c r="D15" s="326"/>
      <c r="E15" s="326"/>
      <c r="F15" s="326"/>
      <c r="G15" s="326"/>
      <c r="H15" s="359">
        <v>6</v>
      </c>
      <c r="I15" s="366">
        <f t="shared" si="0"/>
        <v>0.16163298092182177</v>
      </c>
      <c r="J15" s="367">
        <f t="shared" si="1"/>
        <v>15.856195428430716</v>
      </c>
      <c r="K15" s="345"/>
    </row>
    <row r="16" spans="1:18" ht="13.8" thickBot="1" x14ac:dyDescent="0.3">
      <c r="A16" s="323"/>
      <c r="B16" s="324" t="s">
        <v>13</v>
      </c>
      <c r="C16" s="372"/>
      <c r="D16" s="326"/>
      <c r="E16" s="324" t="s">
        <v>39</v>
      </c>
      <c r="F16" s="372"/>
      <c r="G16" s="326"/>
      <c r="H16" s="359">
        <v>8</v>
      </c>
      <c r="I16" s="366">
        <f t="shared" si="0"/>
        <v>0.21428370525427373</v>
      </c>
      <c r="J16" s="367">
        <f t="shared" si="1"/>
        <v>21.021231485444254</v>
      </c>
      <c r="K16" s="345"/>
    </row>
    <row r="17" spans="1:11" x14ac:dyDescent="0.25">
      <c r="A17" s="323"/>
      <c r="B17" s="333" t="s">
        <v>11</v>
      </c>
      <c r="C17" s="334">
        <v>3000</v>
      </c>
      <c r="D17" s="326"/>
      <c r="E17" s="333" t="s">
        <v>33</v>
      </c>
      <c r="F17" s="334">
        <v>0.53</v>
      </c>
      <c r="G17" s="326"/>
      <c r="H17" s="359">
        <v>10</v>
      </c>
      <c r="I17" s="366">
        <f t="shared" si="0"/>
        <v>0.26589046091444957</v>
      </c>
      <c r="J17" s="367">
        <f t="shared" si="1"/>
        <v>26.083854215707504</v>
      </c>
      <c r="K17" s="345"/>
    </row>
    <row r="18" spans="1:11" ht="13.8" thickBot="1" x14ac:dyDescent="0.3">
      <c r="A18" s="323"/>
      <c r="B18" s="354" t="s">
        <v>9</v>
      </c>
      <c r="C18" s="363">
        <v>10000</v>
      </c>
      <c r="D18" s="326"/>
      <c r="E18" s="354" t="s">
        <v>34</v>
      </c>
      <c r="F18" s="363">
        <v>0.66</v>
      </c>
      <c r="G18" s="326"/>
      <c r="H18" s="359">
        <v>12</v>
      </c>
      <c r="I18" s="366">
        <f t="shared" si="0"/>
        <v>0.31620182497626592</v>
      </c>
      <c r="J18" s="367">
        <f t="shared" si="1"/>
        <v>31.019399030171691</v>
      </c>
      <c r="K18" s="345"/>
    </row>
    <row r="19" spans="1:11" ht="13.8" thickBot="1" x14ac:dyDescent="0.3">
      <c r="A19" s="323"/>
      <c r="B19" s="341" t="s">
        <v>10</v>
      </c>
      <c r="C19" s="373">
        <f>C17/C18</f>
        <v>0.3</v>
      </c>
      <c r="D19" s="326"/>
      <c r="E19" s="341" t="s">
        <v>38</v>
      </c>
      <c r="F19" s="347">
        <f>F17*F18</f>
        <v>0.34980000000000006</v>
      </c>
      <c r="G19" s="326"/>
      <c r="H19" s="359">
        <v>14</v>
      </c>
      <c r="I19" s="366">
        <f t="shared" si="0"/>
        <v>0.36497268553129419</v>
      </c>
      <c r="J19" s="367">
        <f t="shared" si="1"/>
        <v>35.803820450619966</v>
      </c>
      <c r="K19" s="345"/>
    </row>
    <row r="20" spans="1:11" ht="13.8" thickBot="1" x14ac:dyDescent="0.3">
      <c r="A20" s="323"/>
      <c r="B20" s="326"/>
      <c r="C20" s="326"/>
      <c r="D20" s="326"/>
      <c r="E20" s="326"/>
      <c r="F20" s="326"/>
      <c r="G20" s="326"/>
      <c r="H20" s="359">
        <v>16</v>
      </c>
      <c r="I20" s="366">
        <f t="shared" si="0"/>
        <v>0.41196543584934003</v>
      </c>
      <c r="J20" s="367">
        <f t="shared" si="1"/>
        <v>40.413809256820258</v>
      </c>
      <c r="K20" s="345"/>
    </row>
    <row r="21" spans="1:11" ht="13.8" thickBot="1" x14ac:dyDescent="0.3">
      <c r="A21" s="323"/>
      <c r="B21" s="324" t="s">
        <v>14</v>
      </c>
      <c r="C21" s="325"/>
      <c r="D21" s="326"/>
      <c r="E21" s="330" t="s">
        <v>46</v>
      </c>
      <c r="F21" s="331"/>
      <c r="G21" s="326"/>
      <c r="H21" s="359">
        <v>18</v>
      </c>
      <c r="I21" s="366">
        <f t="shared" si="0"/>
        <v>0.45695113197454862</v>
      </c>
      <c r="J21" s="367">
        <f t="shared" si="1"/>
        <v>44.826906046703222</v>
      </c>
      <c r="K21" s="345"/>
    </row>
    <row r="22" spans="1:11" x14ac:dyDescent="0.25">
      <c r="A22" s="323"/>
      <c r="B22" s="333" t="s">
        <v>4</v>
      </c>
      <c r="C22" s="353">
        <v>0.6</v>
      </c>
      <c r="D22" s="326"/>
      <c r="E22" s="352" t="s">
        <v>40</v>
      </c>
      <c r="F22" s="328">
        <f>F3/(F17*F9)</f>
        <v>1.4028754054302808</v>
      </c>
      <c r="G22" s="326"/>
      <c r="H22" s="359">
        <v>20</v>
      </c>
      <c r="I22" s="366">
        <f t="shared" si="0"/>
        <v>0.49971060811734452</v>
      </c>
      <c r="J22" s="367">
        <f t="shared" si="1"/>
        <v>49.021610656311502</v>
      </c>
      <c r="K22" s="345"/>
    </row>
    <row r="23" spans="1:11" x14ac:dyDescent="0.25">
      <c r="A23" s="323"/>
      <c r="B23" s="354" t="s">
        <v>5</v>
      </c>
      <c r="C23" s="355">
        <v>0.12</v>
      </c>
      <c r="D23" s="326"/>
      <c r="E23" s="354" t="s">
        <v>41</v>
      </c>
      <c r="F23" s="374">
        <f>F22/(F18*F12)</f>
        <v>0.66424024878327681</v>
      </c>
      <c r="G23" s="326"/>
      <c r="H23" s="359">
        <v>22</v>
      </c>
      <c r="I23" s="366">
        <f t="shared" si="0"/>
        <v>0.5400355444081274</v>
      </c>
      <c r="J23" s="367">
        <f t="shared" si="1"/>
        <v>52.977486906437299</v>
      </c>
      <c r="K23" s="345"/>
    </row>
    <row r="24" spans="1:11" x14ac:dyDescent="0.25">
      <c r="A24" s="323"/>
      <c r="B24" s="354" t="s">
        <v>6</v>
      </c>
      <c r="C24" s="355">
        <v>0.6</v>
      </c>
      <c r="D24" s="326"/>
      <c r="E24" s="354" t="s">
        <v>42</v>
      </c>
      <c r="F24" s="369">
        <f>(F9*F12)*((1.313*F17)+(0.0371*F9/F3^0.333)-(0.0857*F17*F9/F3^0.333))</f>
        <v>25.85528960731207</v>
      </c>
      <c r="G24" s="326"/>
      <c r="H24" s="359">
        <v>24</v>
      </c>
      <c r="I24" s="366">
        <f t="shared" si="0"/>
        <v>0.5777294818107368</v>
      </c>
      <c r="J24" s="367">
        <f t="shared" si="1"/>
        <v>56.675262165633285</v>
      </c>
      <c r="K24" s="345"/>
    </row>
    <row r="25" spans="1:11" x14ac:dyDescent="0.25">
      <c r="A25" s="323"/>
      <c r="B25" s="354" t="s">
        <v>7</v>
      </c>
      <c r="C25" s="355">
        <v>0.12</v>
      </c>
      <c r="D25" s="326"/>
      <c r="E25" s="354" t="s">
        <v>43</v>
      </c>
      <c r="F25" s="369">
        <f>(1.97+(0.171*F12/F23))*((0.65/F18)^0.333)*(F3*F9)^0.5</f>
        <v>29.960190286343202</v>
      </c>
      <c r="G25" s="326"/>
      <c r="H25" s="359">
        <v>26</v>
      </c>
      <c r="I25" s="366">
        <f t="shared" si="0"/>
        <v>0.61260877925112889</v>
      </c>
      <c r="J25" s="367">
        <f t="shared" si="1"/>
        <v>60.09692124453575</v>
      </c>
      <c r="K25" s="345"/>
    </row>
    <row r="26" spans="1:11" x14ac:dyDescent="0.25">
      <c r="A26" s="323"/>
      <c r="B26" s="354" t="s">
        <v>8</v>
      </c>
      <c r="C26" s="355">
        <v>1.5</v>
      </c>
      <c r="D26" s="326"/>
      <c r="E26" s="354" t="s">
        <v>44</v>
      </c>
      <c r="F26" s="374">
        <f>F24/(F9*F12)</f>
        <v>0.64638224018280177</v>
      </c>
      <c r="G26" s="326"/>
      <c r="H26" s="359">
        <v>28</v>
      </c>
      <c r="I26" s="366">
        <f t="shared" si="0"/>
        <v>0.64450350829822867</v>
      </c>
      <c r="J26" s="367">
        <f t="shared" si="1"/>
        <v>63.225794164056239</v>
      </c>
      <c r="K26" s="345"/>
    </row>
    <row r="27" spans="1:11" ht="13.8" thickBot="1" x14ac:dyDescent="0.3">
      <c r="A27" s="323"/>
      <c r="B27" s="362" t="s">
        <v>21</v>
      </c>
      <c r="C27" s="363">
        <v>1200</v>
      </c>
      <c r="D27" s="326"/>
      <c r="E27" s="354" t="s">
        <v>45</v>
      </c>
      <c r="F27" s="374">
        <f>((F9*F12^3)/12)*F26^2</f>
        <v>14.261248014463566</v>
      </c>
      <c r="G27" s="326"/>
      <c r="H27" s="359">
        <v>30</v>
      </c>
      <c r="I27" s="366">
        <f t="shared" si="0"/>
        <v>0.67325828103816543</v>
      </c>
      <c r="J27" s="367">
        <f t="shared" si="1"/>
        <v>66.046637369844035</v>
      </c>
      <c r="K27" s="345"/>
    </row>
    <row r="28" spans="1:11" x14ac:dyDescent="0.25">
      <c r="A28" s="323"/>
      <c r="B28" s="352" t="s">
        <v>15</v>
      </c>
      <c r="C28" s="368">
        <f>0.5*0.66*((C22*C22*C23)+(C24*C24*C25))*C26</f>
        <v>4.2768E-2</v>
      </c>
      <c r="D28" s="326"/>
      <c r="E28" s="354" t="s">
        <v>47</v>
      </c>
      <c r="F28" s="374">
        <f>F27/F3</f>
        <v>1.5344493184482806</v>
      </c>
      <c r="G28" s="326"/>
      <c r="H28" s="359">
        <v>32</v>
      </c>
      <c r="I28" s="366">
        <f t="shared" si="0"/>
        <v>0.69873300710857011</v>
      </c>
      <c r="J28" s="367">
        <f t="shared" si="1"/>
        <v>68.545707997350732</v>
      </c>
      <c r="K28" s="345"/>
    </row>
    <row r="29" spans="1:11" ht="13.8" thickBot="1" x14ac:dyDescent="0.3">
      <c r="A29" s="323"/>
      <c r="B29" s="341" t="s">
        <v>22</v>
      </c>
      <c r="C29" s="370">
        <f>C28*C27</f>
        <v>51.321600000000004</v>
      </c>
      <c r="D29" s="326"/>
      <c r="E29" s="341" t="s">
        <v>48</v>
      </c>
      <c r="F29" s="336">
        <f>-0.35*F23</f>
        <v>-0.23248408707414686</v>
      </c>
      <c r="G29" s="326"/>
      <c r="H29" s="359">
        <v>34</v>
      </c>
      <c r="I29" s="366">
        <f t="shared" si="0"/>
        <v>0.72080357620473812</v>
      </c>
      <c r="J29" s="367">
        <f t="shared" si="1"/>
        <v>70.710830825684809</v>
      </c>
      <c r="K29" s="345"/>
    </row>
    <row r="30" spans="1:11" ht="13.8" thickBot="1" x14ac:dyDescent="0.3">
      <c r="A30" s="323"/>
      <c r="B30" s="326"/>
      <c r="C30" s="326"/>
      <c r="D30" s="326"/>
      <c r="E30" s="326"/>
      <c r="F30" s="326"/>
      <c r="G30" s="326"/>
      <c r="H30" s="359">
        <v>36</v>
      </c>
      <c r="I30" s="366">
        <f t="shared" si="0"/>
        <v>0.73936246273255868</v>
      </c>
      <c r="J30" s="367">
        <f t="shared" si="1"/>
        <v>72.531457594064008</v>
      </c>
      <c r="K30" s="345"/>
    </row>
    <row r="31" spans="1:11" ht="13.8" thickBot="1" x14ac:dyDescent="0.3">
      <c r="A31" s="323"/>
      <c r="B31" s="324" t="s">
        <v>16</v>
      </c>
      <c r="C31" s="331"/>
      <c r="D31" s="375"/>
      <c r="E31" s="330" t="s">
        <v>49</v>
      </c>
      <c r="F31" s="331"/>
      <c r="G31" s="326"/>
      <c r="H31" s="359">
        <v>38</v>
      </c>
      <c r="I31" s="366">
        <f t="shared" si="0"/>
        <v>0.75431924966240105</v>
      </c>
      <c r="J31" s="367">
        <f t="shared" si="1"/>
        <v>73.998718391881553</v>
      </c>
      <c r="K31" s="345"/>
    </row>
    <row r="32" spans="1:11" ht="13.8" thickBot="1" x14ac:dyDescent="0.3">
      <c r="A32" s="323"/>
      <c r="B32" s="333" t="s">
        <v>17</v>
      </c>
      <c r="C32" s="353">
        <v>2</v>
      </c>
      <c r="D32" s="326"/>
      <c r="E32" s="352" t="s">
        <v>51</v>
      </c>
      <c r="F32" s="376">
        <v>400</v>
      </c>
      <c r="G32" s="326"/>
      <c r="H32" s="377">
        <v>40</v>
      </c>
      <c r="I32" s="366">
        <f t="shared" si="0"/>
        <v>0.76560106903179403</v>
      </c>
      <c r="J32" s="378">
        <f t="shared" si="1"/>
        <v>75.105464872018999</v>
      </c>
      <c r="K32" s="345"/>
    </row>
    <row r="33" spans="1:11" ht="13.8" thickBot="1" x14ac:dyDescent="0.3">
      <c r="A33" s="323"/>
      <c r="B33" s="354" t="s">
        <v>4</v>
      </c>
      <c r="C33" s="355">
        <v>0.4</v>
      </c>
      <c r="D33" s="326"/>
      <c r="E33" s="354" t="s">
        <v>50</v>
      </c>
      <c r="F33" s="379">
        <v>9</v>
      </c>
      <c r="G33" s="326"/>
      <c r="H33" s="326"/>
      <c r="I33" s="326"/>
      <c r="J33" s="326"/>
      <c r="K33" s="345"/>
    </row>
    <row r="34" spans="1:11" ht="13.8" thickBot="1" x14ac:dyDescent="0.3">
      <c r="A34" s="323"/>
      <c r="B34" s="354" t="s">
        <v>5</v>
      </c>
      <c r="C34" s="355">
        <v>0.12</v>
      </c>
      <c r="D34" s="326"/>
      <c r="E34" s="354" t="s">
        <v>53</v>
      </c>
      <c r="F34" s="380">
        <v>0.3</v>
      </c>
      <c r="G34" s="326"/>
      <c r="H34" s="326"/>
      <c r="I34" s="381" t="s">
        <v>68</v>
      </c>
      <c r="J34" s="382" t="s">
        <v>69</v>
      </c>
      <c r="K34" s="345"/>
    </row>
    <row r="35" spans="1:11" ht="13.8" thickBot="1" x14ac:dyDescent="0.3">
      <c r="A35" s="323"/>
      <c r="B35" s="354" t="s">
        <v>6</v>
      </c>
      <c r="C35" s="355">
        <v>0.3</v>
      </c>
      <c r="D35" s="326"/>
      <c r="E35" s="354" t="s">
        <v>52</v>
      </c>
      <c r="F35" s="383">
        <f>(C3*1000)*(1-C4)-C29-C40-F32</f>
        <v>5480.9983999999995</v>
      </c>
      <c r="G35" s="326"/>
      <c r="H35" s="326"/>
      <c r="I35" s="384">
        <f>LINEST(J12:J32,H12:H32^{1})</f>
        <v>1.9323544584859349</v>
      </c>
      <c r="J35" s="385">
        <f>INTERCEPT(J12:J32,H12:H32^{1})</f>
        <v>6.1098123310507972</v>
      </c>
      <c r="K35" s="345"/>
    </row>
    <row r="36" spans="1:11" ht="13.8" thickBot="1" x14ac:dyDescent="0.3">
      <c r="A36" s="323"/>
      <c r="B36" s="354" t="s">
        <v>7</v>
      </c>
      <c r="C36" s="355">
        <v>0.1</v>
      </c>
      <c r="D36" s="326"/>
      <c r="E36" s="354" t="s">
        <v>54</v>
      </c>
      <c r="F36" s="374">
        <f>(((C10*C10*C11)*C12/((C10*C10*C11)+(C8*C8*C9)))+F23)*-1</f>
        <v>-1.1859793792180597</v>
      </c>
      <c r="G36" s="326"/>
      <c r="H36" s="326"/>
      <c r="I36" s="326"/>
      <c r="J36" s="326"/>
      <c r="K36" s="345"/>
    </row>
    <row r="37" spans="1:11" ht="13.8" thickBot="1" x14ac:dyDescent="0.3">
      <c r="A37" s="323"/>
      <c r="B37" s="354" t="s">
        <v>8</v>
      </c>
      <c r="C37" s="355">
        <v>1</v>
      </c>
      <c r="D37" s="326"/>
      <c r="E37" s="354" t="s">
        <v>55</v>
      </c>
      <c r="F37" s="374">
        <f>-(C12+F23)</f>
        <v>-2.164240248783277</v>
      </c>
      <c r="G37" s="326"/>
      <c r="H37" s="386" t="s">
        <v>70</v>
      </c>
      <c r="I37" s="846" t="s">
        <v>71</v>
      </c>
      <c r="J37" s="847"/>
      <c r="K37" s="345"/>
    </row>
    <row r="38" spans="1:11" ht="13.8" thickBot="1" x14ac:dyDescent="0.3">
      <c r="A38" s="323"/>
      <c r="B38" s="354" t="s">
        <v>23</v>
      </c>
      <c r="C38" s="342">
        <v>2400</v>
      </c>
      <c r="D38" s="326"/>
      <c r="E38" s="354" t="s">
        <v>57</v>
      </c>
      <c r="F38" s="374">
        <f>-((C26*C24*C24*C25)/((C24*C24*C25)+(C22*C22*C23)))-F23</f>
        <v>-1.4142402487832766</v>
      </c>
      <c r="G38" s="326"/>
      <c r="H38" s="387">
        <v>11</v>
      </c>
      <c r="I38" s="844">
        <f>I35*H38+J35</f>
        <v>27.365711374396081</v>
      </c>
      <c r="J38" s="845"/>
      <c r="K38" s="345"/>
    </row>
    <row r="39" spans="1:11" ht="13.8" thickBot="1" x14ac:dyDescent="0.3">
      <c r="A39" s="323"/>
      <c r="B39" s="352" t="s">
        <v>24</v>
      </c>
      <c r="C39" s="368">
        <f>C32*0.5*((C33*C33*C34)+(C35*C35*C36))*C37</f>
        <v>2.8200000000000003E-2</v>
      </c>
      <c r="D39" s="326"/>
      <c r="E39" s="362" t="s">
        <v>56</v>
      </c>
      <c r="F39" s="388">
        <f>-((C35*C35*C36*C37)/((C35*C35*C36*C37)+(C33*C33*C34)))</f>
        <v>-0.31914893617021273</v>
      </c>
      <c r="G39" s="326"/>
      <c r="H39" s="326"/>
      <c r="I39" s="326"/>
      <c r="J39" s="326"/>
      <c r="K39" s="345"/>
    </row>
    <row r="40" spans="1:11" ht="13.8" thickBot="1" x14ac:dyDescent="0.3">
      <c r="A40" s="323"/>
      <c r="B40" s="341" t="s">
        <v>25</v>
      </c>
      <c r="C40" s="370">
        <f>C39*C38</f>
        <v>67.680000000000007</v>
      </c>
      <c r="D40" s="326"/>
      <c r="E40" s="389" t="s">
        <v>58</v>
      </c>
      <c r="F40" s="351">
        <f>((F32*F33)+(F35*F34)+(C14*F36)+(C17*F37)+(C29*F38)+(C40*F39))/(C3*1000)</f>
        <v>-0.25285816779198467</v>
      </c>
      <c r="G40" s="326"/>
      <c r="H40" s="386" t="s">
        <v>1</v>
      </c>
      <c r="I40" s="846" t="s">
        <v>72</v>
      </c>
      <c r="J40" s="847"/>
      <c r="K40" s="345"/>
    </row>
    <row r="41" spans="1:11" ht="13.8" thickBot="1" x14ac:dyDescent="0.3">
      <c r="A41" s="323"/>
      <c r="B41" s="390"/>
      <c r="C41" s="391"/>
      <c r="D41" s="326"/>
      <c r="E41" s="392"/>
      <c r="F41" s="393"/>
      <c r="G41" s="326"/>
      <c r="H41" s="387">
        <v>50</v>
      </c>
      <c r="I41" s="844">
        <f>(H41-J35)/I35</f>
        <v>22.71332129372302</v>
      </c>
      <c r="J41" s="845"/>
      <c r="K41" s="345"/>
    </row>
    <row r="42" spans="1:11" ht="13.8" thickBot="1" x14ac:dyDescent="0.3">
      <c r="A42" s="394"/>
      <c r="B42" s="390"/>
      <c r="C42" s="390"/>
      <c r="D42" s="390"/>
      <c r="E42" s="390"/>
      <c r="F42" s="390"/>
      <c r="G42" s="390"/>
      <c r="H42" s="390"/>
      <c r="I42" s="390"/>
      <c r="J42" s="390"/>
      <c r="K42" s="395"/>
    </row>
  </sheetData>
  <mergeCells count="5">
    <mergeCell ref="I38:J38"/>
    <mergeCell ref="I40:J40"/>
    <mergeCell ref="I41:J41"/>
    <mergeCell ref="H8:J8"/>
    <mergeCell ref="I37:J37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52"/>
  <sheetViews>
    <sheetView topLeftCell="A4" workbookViewId="0">
      <selection activeCell="P24" sqref="P24"/>
    </sheetView>
  </sheetViews>
  <sheetFormatPr defaultRowHeight="13.2" x14ac:dyDescent="0.25"/>
  <cols>
    <col min="2" max="2" width="13.5546875" customWidth="1"/>
    <col min="3" max="3" width="14.88671875" customWidth="1"/>
    <col min="6" max="6" width="11.5546875" bestFit="1" customWidth="1"/>
    <col min="8" max="8" width="13.6640625" customWidth="1"/>
    <col min="10" max="10" width="13.109375" customWidth="1"/>
    <col min="23" max="23" width="8.6640625" customWidth="1"/>
    <col min="30" max="30" width="12.109375" customWidth="1"/>
  </cols>
  <sheetData>
    <row r="1" spans="1:35" ht="13.8" thickBot="1" x14ac:dyDescent="0.3"/>
    <row r="2" spans="1:35" x14ac:dyDescent="0.25">
      <c r="B2" s="857" t="s">
        <v>382</v>
      </c>
      <c r="C2" s="858"/>
      <c r="D2" s="858"/>
      <c r="E2" s="858"/>
      <c r="F2" s="858"/>
      <c r="G2" s="858"/>
      <c r="H2" s="858"/>
      <c r="I2" s="858"/>
      <c r="J2" s="859"/>
    </row>
    <row r="3" spans="1:35" ht="13.8" thickBot="1" x14ac:dyDescent="0.3">
      <c r="B3" s="860"/>
      <c r="C3" s="861"/>
      <c r="D3" s="861"/>
      <c r="E3" s="861"/>
      <c r="F3" s="861"/>
      <c r="G3" s="861"/>
      <c r="H3" s="861"/>
      <c r="I3" s="861"/>
      <c r="J3" s="862"/>
    </row>
    <row r="4" spans="1:35" ht="13.8" thickBot="1" x14ac:dyDescent="0.3">
      <c r="L4" s="733" t="s">
        <v>422</v>
      </c>
      <c r="M4" s="1">
        <v>24</v>
      </c>
    </row>
    <row r="5" spans="1:35" ht="12.75" customHeight="1" x14ac:dyDescent="0.25">
      <c r="B5" s="880" t="s">
        <v>354</v>
      </c>
      <c r="C5" s="881"/>
      <c r="D5" s="871" t="s">
        <v>377</v>
      </c>
      <c r="E5" s="872"/>
      <c r="F5" s="873"/>
      <c r="H5" s="851" t="s">
        <v>372</v>
      </c>
      <c r="I5" s="854">
        <v>15</v>
      </c>
      <c r="K5" s="1"/>
      <c r="L5" s="729" t="s">
        <v>426</v>
      </c>
      <c r="M5" s="734">
        <v>0.5</v>
      </c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</row>
    <row r="6" spans="1:35" ht="12.75" customHeight="1" x14ac:dyDescent="0.25">
      <c r="B6" s="882"/>
      <c r="C6" s="883"/>
      <c r="D6" s="874"/>
      <c r="E6" s="875"/>
      <c r="F6" s="876"/>
      <c r="H6" s="852"/>
      <c r="I6" s="855"/>
      <c r="K6" s="1"/>
      <c r="L6" s="733" t="s">
        <v>425</v>
      </c>
      <c r="M6" s="1">
        <f>15.1/4.7</f>
        <v>3.2127659574468082</v>
      </c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35" ht="13.5" customHeight="1" thickBot="1" x14ac:dyDescent="0.3">
      <c r="B7" s="884"/>
      <c r="C7" s="885"/>
      <c r="D7" s="877"/>
      <c r="E7" s="878"/>
      <c r="F7" s="879"/>
      <c r="H7" s="853"/>
      <c r="I7" s="856"/>
      <c r="K7" s="1"/>
      <c r="L7" s="733" t="s">
        <v>424</v>
      </c>
      <c r="M7" s="1">
        <f>16.9/4.3</f>
        <v>3.9302325581395348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1:35" x14ac:dyDescent="0.25">
      <c r="B8" s="301"/>
      <c r="C8" s="7"/>
      <c r="D8" s="302"/>
      <c r="E8" s="1"/>
      <c r="K8" s="1"/>
      <c r="L8" s="733" t="s">
        <v>429</v>
      </c>
      <c r="M8" s="735">
        <v>1.1000000000000001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</row>
    <row r="9" spans="1:35" ht="13.8" thickBot="1" x14ac:dyDescent="0.3">
      <c r="B9" s="3"/>
      <c r="C9" s="3"/>
      <c r="D9" s="3"/>
      <c r="E9" s="1"/>
      <c r="F9" s="1"/>
      <c r="G9" s="1"/>
      <c r="H9" s="1"/>
      <c r="I9" s="1"/>
      <c r="J9" s="1"/>
      <c r="K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</row>
    <row r="10" spans="1:35" ht="13.8" thickBot="1" x14ac:dyDescent="0.3">
      <c r="B10" s="428"/>
      <c r="C10" s="865" t="s">
        <v>357</v>
      </c>
      <c r="D10" s="866"/>
      <c r="E10" s="867"/>
      <c r="F10" s="868" t="s">
        <v>360</v>
      </c>
      <c r="G10" s="869"/>
      <c r="H10" s="870"/>
      <c r="I10" s="416" t="s">
        <v>361</v>
      </c>
      <c r="J10" s="416"/>
      <c r="K10" s="863"/>
      <c r="L10" s="864"/>
      <c r="M10" s="864"/>
      <c r="N10" s="864"/>
      <c r="O10" s="864"/>
      <c r="P10" s="863"/>
      <c r="Q10" s="864"/>
      <c r="R10" s="863"/>
      <c r="S10" s="864"/>
      <c r="T10" s="864"/>
      <c r="U10" s="864"/>
      <c r="V10" s="864"/>
      <c r="W10" s="864"/>
      <c r="X10" s="863"/>
      <c r="Y10" s="864"/>
      <c r="Z10" s="864"/>
      <c r="AA10" s="864"/>
      <c r="AB10" s="864"/>
      <c r="AC10" s="864"/>
      <c r="AD10" s="864"/>
      <c r="AE10" s="1"/>
      <c r="AF10" s="1"/>
      <c r="AG10" s="1"/>
      <c r="AH10" s="1"/>
      <c r="AI10" s="1"/>
    </row>
    <row r="11" spans="1:35" ht="27" thickBot="1" x14ac:dyDescent="0.3">
      <c r="B11" s="410" t="s">
        <v>355</v>
      </c>
      <c r="C11" s="406" t="s">
        <v>356</v>
      </c>
      <c r="D11" s="306" t="s">
        <v>334</v>
      </c>
      <c r="E11" s="307" t="s">
        <v>91</v>
      </c>
      <c r="F11" s="409" t="s">
        <v>358</v>
      </c>
      <c r="G11" s="408" t="s">
        <v>338</v>
      </c>
      <c r="H11" s="413" t="s">
        <v>359</v>
      </c>
      <c r="I11" s="303" t="s">
        <v>102</v>
      </c>
      <c r="J11" s="405" t="s">
        <v>373</v>
      </c>
      <c r="K11" s="423"/>
      <c r="L11" s="731" t="s">
        <v>423</v>
      </c>
      <c r="M11" s="423" t="s">
        <v>427</v>
      </c>
      <c r="N11" s="423" t="s">
        <v>428</v>
      </c>
      <c r="Q11" s="731"/>
      <c r="R11" s="731"/>
      <c r="S11" s="731"/>
      <c r="T11" s="731"/>
      <c r="U11" s="423"/>
      <c r="V11" s="423"/>
      <c r="W11" s="424"/>
      <c r="X11" s="423"/>
      <c r="Y11" s="423"/>
      <c r="Z11" s="423"/>
      <c r="AA11" s="423"/>
      <c r="AB11" s="423"/>
      <c r="AC11" s="423"/>
      <c r="AD11" s="423"/>
      <c r="AE11" s="1"/>
      <c r="AF11" s="1"/>
      <c r="AG11" s="1"/>
      <c r="AH11" s="1"/>
      <c r="AI11" s="1"/>
    </row>
    <row r="12" spans="1:35" x14ac:dyDescent="0.25">
      <c r="A12" t="str">
        <f>'Initial Boat Data'!B12</f>
        <v>A</v>
      </c>
      <c r="B12" s="432" t="s">
        <v>364</v>
      </c>
      <c r="C12" s="736">
        <f>(2*M12*$M$6/(1+$I$5/100))^0.5</f>
        <v>20.881960216198379</v>
      </c>
      <c r="D12" s="436">
        <f>C12/$M$6</f>
        <v>6.499682981200821</v>
      </c>
      <c r="E12" s="437">
        <v>2</v>
      </c>
      <c r="F12" s="738">
        <f>G12*$M$7</f>
        <v>23.247843251065227</v>
      </c>
      <c r="G12" s="436">
        <f>(4*N12^2/(($M$7^2+1)*$M$8^2))^(1/4)</f>
        <v>5.9151317147680755</v>
      </c>
      <c r="H12" s="740">
        <f>G12*$M$8</f>
        <v>6.5066448862448834</v>
      </c>
      <c r="I12" s="438">
        <v>0.25</v>
      </c>
      <c r="J12" s="446">
        <f t="shared" ref="J12:J20" si="0">((C12*D12)*((1+($I$5/100))/2))+(((F12^2+G12^2)^0.5)*H12/2)</f>
        <v>156.08503964603779</v>
      </c>
      <c r="K12" s="750"/>
      <c r="L12" s="3">
        <f>$M$4*('Initial Boat Data'!C12/1.025)^(2/3)</f>
        <v>156.08503964603779</v>
      </c>
      <c r="M12" s="6">
        <f t="shared" ref="M12:M20" si="1">L12*$M$5</f>
        <v>78.042519823018893</v>
      </c>
      <c r="N12" s="6">
        <f>L12-M12</f>
        <v>78.042519823018893</v>
      </c>
      <c r="Q12" s="3"/>
      <c r="R12" s="3"/>
      <c r="S12" s="3"/>
      <c r="T12" s="23"/>
      <c r="U12" s="3"/>
      <c r="V12" s="3"/>
      <c r="W12" s="3"/>
      <c r="X12" s="3"/>
      <c r="Y12" s="3"/>
      <c r="Z12" s="6"/>
      <c r="AA12" s="3"/>
      <c r="AB12" s="3"/>
      <c r="AC12" s="3"/>
      <c r="AD12" s="3"/>
      <c r="AE12" s="1"/>
      <c r="AF12" s="1"/>
      <c r="AG12" s="1"/>
      <c r="AH12" s="1"/>
      <c r="AI12" s="1"/>
    </row>
    <row r="13" spans="1:35" x14ac:dyDescent="0.25">
      <c r="A13" t="str">
        <f>'Initial Boat Data'!B13</f>
        <v xml:space="preserve">B </v>
      </c>
      <c r="B13" s="414" t="s">
        <v>363</v>
      </c>
      <c r="C13" s="737">
        <f>(2*M13*$M$6/(1+$I$5/100))^0.5</f>
        <v>20.983825048795982</v>
      </c>
      <c r="D13" s="440">
        <f>C13/$M$6</f>
        <v>6.5313892535987499</v>
      </c>
      <c r="E13" s="441">
        <v>2</v>
      </c>
      <c r="F13" s="739">
        <f>G13*$M$7</f>
        <v>23.361249159155598</v>
      </c>
      <c r="G13" s="443">
        <f>(4*N13^2/(($M$7^2+1)*$M$8^2))^(1/4)</f>
        <v>5.9439864724478744</v>
      </c>
      <c r="H13" s="741">
        <f>G13*$M$8</f>
        <v>6.5383851196926619</v>
      </c>
      <c r="I13" s="445"/>
      <c r="J13" s="446">
        <f t="shared" si="0"/>
        <v>157.61155883656767</v>
      </c>
      <c r="K13" s="3"/>
      <c r="L13" s="3">
        <f>$M$4*('Initial Boat Data'!C13/1.025)^(2/3)</f>
        <v>157.61155883656767</v>
      </c>
      <c r="M13" s="6">
        <f t="shared" si="1"/>
        <v>78.805779418283834</v>
      </c>
      <c r="N13" s="6">
        <f t="shared" ref="N13:N20" si="2">L13-M13</f>
        <v>78.805779418283834</v>
      </c>
      <c r="Q13" s="3"/>
      <c r="R13" s="3"/>
      <c r="S13" s="3"/>
      <c r="T13" s="23"/>
      <c r="U13" s="3"/>
      <c r="V13" s="3"/>
      <c r="W13" s="3"/>
      <c r="X13" s="3"/>
      <c r="Y13" s="3"/>
      <c r="Z13" s="6"/>
      <c r="AA13" s="3"/>
      <c r="AB13" s="3"/>
      <c r="AC13" s="3"/>
      <c r="AD13" s="3"/>
      <c r="AE13" s="1"/>
      <c r="AF13" s="1"/>
      <c r="AG13" s="1"/>
      <c r="AH13" s="1"/>
      <c r="AI13" s="1"/>
    </row>
    <row r="14" spans="1:35" x14ac:dyDescent="0.25">
      <c r="A14" t="str">
        <f>'Initial Boat Data'!B14</f>
        <v>C</v>
      </c>
      <c r="B14" s="415" t="s">
        <v>365</v>
      </c>
      <c r="C14" s="737">
        <f t="shared" ref="C14:C20" si="3">(2*M14*$M$6/(1+$I$5/100))^0.5</f>
        <v>21.084710373931095</v>
      </c>
      <c r="D14" s="440">
        <f t="shared" ref="D14:D20" si="4">C14/$M$6</f>
        <v>6.5627906461904741</v>
      </c>
      <c r="E14" s="441">
        <v>2</v>
      </c>
      <c r="F14" s="739">
        <f t="shared" ref="F14:F20" si="5">G14*$M$7</f>
        <v>23.473564583607693</v>
      </c>
      <c r="G14" s="443">
        <f t="shared" ref="G14:G20" si="6">(4*N14^2/(($M$7^2+1)*$M$8^2))^(1/4)</f>
        <v>5.9725637697936733</v>
      </c>
      <c r="H14" s="741">
        <f t="shared" ref="H14:H20" si="7">G14*$M$8</f>
        <v>6.5698201467730408</v>
      </c>
      <c r="I14" s="448">
        <v>0.2</v>
      </c>
      <c r="J14" s="446">
        <f t="shared" si="0"/>
        <v>159.1307210226208</v>
      </c>
      <c r="K14" s="3"/>
      <c r="L14" s="3">
        <f>$M$4*('Initial Boat Data'!C14/1.025)^(2/3)</f>
        <v>159.1307210226208</v>
      </c>
      <c r="M14" s="6">
        <f t="shared" si="1"/>
        <v>79.565360511310402</v>
      </c>
      <c r="N14" s="6">
        <f t="shared" si="2"/>
        <v>79.565360511310402</v>
      </c>
      <c r="Q14" s="3"/>
      <c r="R14" s="3"/>
      <c r="S14" s="3"/>
      <c r="T14" s="23"/>
      <c r="U14" s="3"/>
      <c r="V14" s="3"/>
      <c r="W14" s="3"/>
      <c r="X14" s="3"/>
      <c r="Y14" s="3"/>
      <c r="Z14" s="6"/>
      <c r="AA14" s="3"/>
      <c r="AB14" s="3"/>
      <c r="AC14" s="3"/>
      <c r="AD14" s="2"/>
      <c r="AE14" s="1"/>
      <c r="AF14" s="1"/>
      <c r="AG14" s="1"/>
      <c r="AH14" s="1"/>
      <c r="AI14" s="1"/>
    </row>
    <row r="15" spans="1:35" x14ac:dyDescent="0.25">
      <c r="A15" t="str">
        <f>'Initial Boat Data'!B15</f>
        <v>D</v>
      </c>
      <c r="B15" s="414" t="s">
        <v>375</v>
      </c>
      <c r="C15" s="737">
        <f t="shared" si="3"/>
        <v>21.184639404088259</v>
      </c>
      <c r="D15" s="440">
        <f t="shared" si="4"/>
        <v>6.5938943840539617</v>
      </c>
      <c r="E15" s="441">
        <v>2</v>
      </c>
      <c r="F15" s="739">
        <f t="shared" si="5"/>
        <v>23.584815366832657</v>
      </c>
      <c r="G15" s="443">
        <f t="shared" si="6"/>
        <v>6.0008701820935162</v>
      </c>
      <c r="H15" s="741">
        <f t="shared" si="7"/>
        <v>6.6009572003028687</v>
      </c>
      <c r="I15" s="448">
        <v>0.2</v>
      </c>
      <c r="J15" s="446">
        <f t="shared" si="0"/>
        <v>160.64266601404972</v>
      </c>
      <c r="K15" s="3"/>
      <c r="L15" s="3">
        <f>$M$4*('Initial Boat Data'!C15/1.025)^(2/3)</f>
        <v>160.64266601404972</v>
      </c>
      <c r="M15" s="6">
        <f t="shared" si="1"/>
        <v>80.321333007024862</v>
      </c>
      <c r="N15" s="6">
        <f t="shared" si="2"/>
        <v>80.321333007024862</v>
      </c>
      <c r="Q15" s="3"/>
      <c r="R15" s="3"/>
      <c r="S15" s="3"/>
      <c r="T15" s="23"/>
      <c r="U15" s="3"/>
      <c r="V15" s="3"/>
      <c r="W15" s="3"/>
      <c r="X15" s="3"/>
      <c r="Y15" s="3"/>
      <c r="Z15" s="6"/>
      <c r="AA15" s="3"/>
      <c r="AB15" s="3"/>
      <c r="AC15" s="3"/>
      <c r="AD15" s="2"/>
      <c r="AE15" s="1"/>
      <c r="AF15" s="1"/>
      <c r="AG15" s="1"/>
      <c r="AH15" s="1"/>
      <c r="AI15" s="1"/>
    </row>
    <row r="16" spans="1:35" x14ac:dyDescent="0.25">
      <c r="A16" t="str">
        <f>'Initial Boat Data'!B16</f>
        <v>E</v>
      </c>
      <c r="B16" s="414" t="s">
        <v>376</v>
      </c>
      <c r="C16" s="737">
        <f t="shared" si="3"/>
        <v>21.283634483924732</v>
      </c>
      <c r="D16" s="440">
        <f t="shared" si="4"/>
        <v>6.6247074221487585</v>
      </c>
      <c r="E16" s="441">
        <v>2</v>
      </c>
      <c r="F16" s="739">
        <f t="shared" si="5"/>
        <v>23.69502638509136</v>
      </c>
      <c r="G16" s="443">
        <f t="shared" si="6"/>
        <v>6.028912038810228</v>
      </c>
      <c r="H16" s="741">
        <f t="shared" si="7"/>
        <v>6.6318032426912517</v>
      </c>
      <c r="I16" s="448"/>
      <c r="J16" s="446">
        <f t="shared" si="0"/>
        <v>162.14752903635105</v>
      </c>
      <c r="K16" s="3"/>
      <c r="L16" s="3">
        <f>$M$4*('Initial Boat Data'!C16/1.025)^(2/3)</f>
        <v>162.14752903635107</v>
      </c>
      <c r="M16" s="6">
        <f t="shared" si="1"/>
        <v>81.073764518175537</v>
      </c>
      <c r="N16" s="6">
        <f t="shared" si="2"/>
        <v>81.073764518175537</v>
      </c>
      <c r="Q16" s="3"/>
      <c r="R16" s="3"/>
      <c r="S16" s="3"/>
      <c r="T16" s="23"/>
      <c r="U16" s="3"/>
      <c r="V16" s="3"/>
      <c r="W16" s="3"/>
      <c r="X16" s="3"/>
      <c r="Y16" s="3"/>
      <c r="Z16" s="6"/>
      <c r="AA16" s="3"/>
      <c r="AB16" s="3"/>
      <c r="AC16" s="3"/>
      <c r="AD16" s="2"/>
      <c r="AE16" s="1"/>
      <c r="AF16" s="1"/>
      <c r="AG16" s="1"/>
      <c r="AH16" s="1"/>
      <c r="AI16" s="1"/>
    </row>
    <row r="17" spans="1:35" x14ac:dyDescent="0.25">
      <c r="A17" t="str">
        <f>'Initial Boat Data'!B17</f>
        <v>F</v>
      </c>
      <c r="B17" s="415" t="s">
        <v>377</v>
      </c>
      <c r="C17" s="737">
        <f t="shared" si="3"/>
        <v>21.381717134266243</v>
      </c>
      <c r="D17" s="440">
        <f t="shared" si="4"/>
        <v>6.6552364590100233</v>
      </c>
      <c r="E17" s="441">
        <v>2</v>
      </c>
      <c r="F17" s="739">
        <f t="shared" si="5"/>
        <v>23.804221597474712</v>
      </c>
      <c r="G17" s="443">
        <f t="shared" si="6"/>
        <v>6.0566954360438618</v>
      </c>
      <c r="H17" s="741">
        <f t="shared" si="7"/>
        <v>6.6623649796482489</v>
      </c>
      <c r="I17" s="448"/>
      <c r="J17" s="446">
        <f t="shared" si="0"/>
        <v>163.64544094243922</v>
      </c>
      <c r="K17" s="3"/>
      <c r="L17" s="3">
        <f>$M$4*('Initial Boat Data'!C17/1.025)^(2/3)</f>
        <v>163.64544094243922</v>
      </c>
      <c r="M17" s="6">
        <f t="shared" si="1"/>
        <v>81.822720471219611</v>
      </c>
      <c r="N17" s="6">
        <f t="shared" si="2"/>
        <v>81.822720471219611</v>
      </c>
      <c r="Q17" s="3"/>
      <c r="R17" s="3"/>
      <c r="S17" s="3"/>
      <c r="T17" s="23"/>
      <c r="U17" s="3"/>
      <c r="V17" s="3"/>
      <c r="W17" s="3"/>
      <c r="X17" s="3"/>
      <c r="Y17" s="3"/>
      <c r="Z17" s="6"/>
      <c r="AA17" s="3"/>
      <c r="AB17" s="3"/>
      <c r="AC17" s="3"/>
      <c r="AD17" s="2"/>
      <c r="AE17" s="1"/>
      <c r="AF17" s="1"/>
      <c r="AG17" s="1"/>
      <c r="AH17" s="1"/>
      <c r="AI17" s="1"/>
    </row>
    <row r="18" spans="1:35" x14ac:dyDescent="0.25">
      <c r="A18" t="str">
        <f>'Initial Boat Data'!B18</f>
        <v>G</v>
      </c>
      <c r="B18" s="414" t="s">
        <v>378</v>
      </c>
      <c r="C18" s="737">
        <f t="shared" si="3"/>
        <v>21.478908093302646</v>
      </c>
      <c r="D18" s="440">
        <f t="shared" si="4"/>
        <v>6.6854879495710229</v>
      </c>
      <c r="E18" s="441">
        <v>2</v>
      </c>
      <c r="F18" s="739">
        <f t="shared" si="5"/>
        <v>23.912424091766709</v>
      </c>
      <c r="G18" s="443">
        <f t="shared" si="6"/>
        <v>6.0842262482009977</v>
      </c>
      <c r="H18" s="741">
        <f t="shared" si="7"/>
        <v>6.6926488730210982</v>
      </c>
      <c r="I18" s="448"/>
      <c r="J18" s="446">
        <f t="shared" si="0"/>
        <v>165.13652841187604</v>
      </c>
      <c r="K18" s="3"/>
      <c r="L18" s="3">
        <f>$M$4*('Initial Boat Data'!C18/1.025)^(2/3)</f>
        <v>165.1365284118761</v>
      </c>
      <c r="M18" s="6">
        <f t="shared" si="1"/>
        <v>82.56826420593805</v>
      </c>
      <c r="N18" s="6">
        <f t="shared" si="2"/>
        <v>82.56826420593805</v>
      </c>
      <c r="Q18" s="3"/>
      <c r="R18" s="3"/>
      <c r="S18" s="3"/>
      <c r="T18" s="23"/>
      <c r="U18" s="3"/>
      <c r="V18" s="3"/>
      <c r="W18" s="3"/>
      <c r="X18" s="3"/>
      <c r="Y18" s="3"/>
      <c r="Z18" s="6"/>
      <c r="AA18" s="3"/>
      <c r="AB18" s="3"/>
      <c r="AC18" s="3"/>
      <c r="AD18" s="2"/>
      <c r="AE18" s="1"/>
      <c r="AF18" s="1"/>
      <c r="AG18" s="1"/>
      <c r="AH18" s="1"/>
      <c r="AI18" s="1"/>
    </row>
    <row r="19" spans="1:35" x14ac:dyDescent="0.25">
      <c r="A19" t="str">
        <f>'Initial Boat Data'!B19</f>
        <v>H</v>
      </c>
      <c r="B19" s="414" t="s">
        <v>379</v>
      </c>
      <c r="C19" s="737">
        <f t="shared" si="3"/>
        <v>21.575227355196979</v>
      </c>
      <c r="D19" s="440">
        <f t="shared" si="4"/>
        <v>6.7154681171805173</v>
      </c>
      <c r="E19" s="441">
        <v>2</v>
      </c>
      <c r="F19" s="739">
        <f t="shared" si="5"/>
        <v>24.019656127427844</v>
      </c>
      <c r="G19" s="443">
        <f t="shared" si="6"/>
        <v>6.1115101389313446</v>
      </c>
      <c r="H19" s="741">
        <f t="shared" si="7"/>
        <v>6.7226611528244797</v>
      </c>
      <c r="I19" s="448"/>
      <c r="J19" s="446">
        <f t="shared" si="0"/>
        <v>166.62091413845815</v>
      </c>
      <c r="K19" s="3"/>
      <c r="L19" s="3">
        <f>$M$4*('Initial Boat Data'!C19/1.025)^(2/3)</f>
        <v>166.62091413845815</v>
      </c>
      <c r="M19" s="6">
        <f t="shared" si="1"/>
        <v>83.310457069229074</v>
      </c>
      <c r="N19" s="6">
        <f t="shared" si="2"/>
        <v>83.310457069229074</v>
      </c>
      <c r="Q19" s="3"/>
      <c r="R19" s="3"/>
      <c r="S19" s="3"/>
      <c r="T19" s="23"/>
      <c r="U19" s="3"/>
      <c r="V19" s="3"/>
      <c r="W19" s="3"/>
      <c r="X19" s="3"/>
      <c r="Y19" s="3"/>
      <c r="Z19" s="6"/>
      <c r="AA19" s="3"/>
      <c r="AB19" s="3"/>
      <c r="AC19" s="3"/>
      <c r="AD19" s="2"/>
      <c r="AE19" s="1"/>
      <c r="AF19" s="1"/>
      <c r="AG19" s="1"/>
      <c r="AH19" s="1"/>
      <c r="AI19" s="1"/>
    </row>
    <row r="20" spans="1:35" ht="13.8" thickBot="1" x14ac:dyDescent="0.3">
      <c r="A20" t="str">
        <f>'Initial Boat Data'!B20</f>
        <v>J</v>
      </c>
      <c r="B20" s="415" t="s">
        <v>380</v>
      </c>
      <c r="C20" s="737">
        <f t="shared" si="3"/>
        <v>21.670694206302546</v>
      </c>
      <c r="D20" s="440">
        <f t="shared" si="4"/>
        <v>6.7451829648756272</v>
      </c>
      <c r="E20" s="441">
        <v>2</v>
      </c>
      <c r="F20" s="739">
        <f t="shared" si="5"/>
        <v>24.125939175915477</v>
      </c>
      <c r="G20" s="443">
        <f t="shared" si="6"/>
        <v>6.1385525713867786</v>
      </c>
      <c r="H20" s="741">
        <f t="shared" si="7"/>
        <v>6.752407828525457</v>
      </c>
      <c r="I20" s="448"/>
      <c r="J20" s="446">
        <f t="shared" si="0"/>
        <v>168.09871700698801</v>
      </c>
      <c r="K20" s="3"/>
      <c r="L20" s="3">
        <f>$M$4*('Initial Boat Data'!C20/1.025)^(2/3)</f>
        <v>168.09871700698801</v>
      </c>
      <c r="M20" s="6">
        <f t="shared" si="1"/>
        <v>84.049358503494005</v>
      </c>
      <c r="N20" s="6">
        <f t="shared" si="2"/>
        <v>84.049358503494005</v>
      </c>
      <c r="Q20" s="3"/>
      <c r="R20" s="3"/>
      <c r="S20" s="3"/>
      <c r="T20" s="23"/>
      <c r="U20" s="3"/>
      <c r="V20" s="3"/>
      <c r="W20" s="3"/>
      <c r="X20" s="3"/>
      <c r="Y20" s="3"/>
      <c r="Z20" s="6"/>
      <c r="AA20" s="3"/>
      <c r="AB20" s="3"/>
      <c r="AC20" s="3"/>
      <c r="AD20" s="2"/>
      <c r="AE20" s="1"/>
      <c r="AF20" s="1"/>
      <c r="AG20" s="1"/>
      <c r="AH20" s="1"/>
      <c r="AI20" s="1"/>
    </row>
    <row r="21" spans="1:35" ht="13.8" thickBot="1" x14ac:dyDescent="0.3">
      <c r="A21" t="str">
        <f>'Initial Boat Data'!B21</f>
        <v>K</v>
      </c>
      <c r="B21" s="434" t="s">
        <v>381</v>
      </c>
      <c r="C21" s="736">
        <v>20.357017731602468</v>
      </c>
      <c r="D21" s="436">
        <v>7</v>
      </c>
      <c r="E21" s="437">
        <v>1.8</v>
      </c>
      <c r="F21" s="738">
        <v>21.157017731602469</v>
      </c>
      <c r="G21" s="436">
        <v>6.4027897568762393</v>
      </c>
      <c r="H21" s="740">
        <v>6.8014277371051124</v>
      </c>
      <c r="I21" s="438">
        <v>0.25</v>
      </c>
      <c r="J21" s="446">
        <v>157.10855267217693</v>
      </c>
      <c r="K21" s="3"/>
      <c r="L21" s="3"/>
      <c r="M21" s="6"/>
      <c r="N21" s="3"/>
      <c r="O21" s="3"/>
      <c r="P21" s="3"/>
      <c r="Q21" s="3"/>
      <c r="R21" s="3"/>
      <c r="S21" s="3"/>
      <c r="T21" s="6"/>
      <c r="U21" s="3"/>
      <c r="V21" s="3"/>
      <c r="W21" s="3"/>
      <c r="X21" s="3"/>
      <c r="Y21" s="3"/>
      <c r="Z21" s="6"/>
      <c r="AA21" s="3"/>
      <c r="AB21" s="3"/>
      <c r="AC21" s="3"/>
      <c r="AD21" s="2"/>
      <c r="AE21" s="1"/>
      <c r="AF21" s="1"/>
      <c r="AG21" s="1"/>
      <c r="AH21" s="1"/>
      <c r="AI21" s="1"/>
    </row>
    <row r="22" spans="1:35" x14ac:dyDescent="0.25">
      <c r="B22" s="435"/>
      <c r="C22" s="317"/>
      <c r="D22" s="317"/>
      <c r="E22" s="317"/>
      <c r="F22" s="317"/>
      <c r="G22" s="317"/>
      <c r="H22" s="317"/>
      <c r="I22" s="317"/>
      <c r="J22" s="317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1"/>
      <c r="AF22" s="1"/>
      <c r="AG22" s="1"/>
      <c r="AH22" s="1"/>
      <c r="AI22" s="1"/>
    </row>
    <row r="23" spans="1:35" x14ac:dyDescent="0.25">
      <c r="B23" s="317"/>
      <c r="C23" s="317"/>
      <c r="D23" s="317"/>
      <c r="E23" s="317"/>
      <c r="F23" s="317"/>
      <c r="G23" s="317"/>
      <c r="H23" s="317"/>
      <c r="I23" s="317"/>
      <c r="J23" s="317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1"/>
      <c r="AF23" s="1"/>
      <c r="AG23" s="1"/>
      <c r="AH23" s="1"/>
      <c r="AI23" s="1"/>
    </row>
    <row r="24" spans="1:35" ht="13.8" thickBot="1" x14ac:dyDescent="0.3">
      <c r="C24" s="317"/>
      <c r="D24" s="317"/>
      <c r="E24" s="317"/>
      <c r="F24" s="317"/>
      <c r="G24" s="317"/>
      <c r="H24" s="317"/>
      <c r="I24" s="317"/>
      <c r="J24" s="317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1"/>
      <c r="AF24" s="1"/>
      <c r="AG24" s="1"/>
      <c r="AH24" s="1"/>
      <c r="AI24" s="1"/>
    </row>
    <row r="25" spans="1:35" ht="13.8" thickBot="1" x14ac:dyDescent="0.3">
      <c r="B25" s="316" t="s">
        <v>343</v>
      </c>
      <c r="C25" s="317"/>
      <c r="D25" s="317"/>
      <c r="E25" s="317"/>
      <c r="F25" s="317"/>
      <c r="G25" s="317"/>
      <c r="H25" s="317"/>
      <c r="I25" s="317"/>
      <c r="J25" s="317"/>
      <c r="K25" s="2"/>
      <c r="L25" s="2">
        <f>N20/(F20*G20/2)</f>
        <v>1.1350479028727214</v>
      </c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1"/>
      <c r="AF25" s="1"/>
      <c r="AG25" s="1"/>
      <c r="AH25" s="1"/>
      <c r="AI25" s="1"/>
    </row>
    <row r="26" spans="1:35" ht="13.8" thickBot="1" x14ac:dyDescent="0.3">
      <c r="B26" s="428" t="str">
        <f>D5</f>
        <v>Rig 6</v>
      </c>
      <c r="C26" s="865" t="s">
        <v>357</v>
      </c>
      <c r="D26" s="866"/>
      <c r="E26" s="867"/>
      <c r="F26" s="868" t="s">
        <v>360</v>
      </c>
      <c r="G26" s="869"/>
      <c r="H26" s="870"/>
      <c r="I26" s="416" t="s">
        <v>361</v>
      </c>
      <c r="J26" s="416"/>
      <c r="K26" s="863"/>
      <c r="L26" s="864"/>
      <c r="M26" s="864"/>
      <c r="N26" s="864"/>
      <c r="O26" s="864"/>
      <c r="P26" s="863"/>
      <c r="Q26" s="864"/>
      <c r="R26" s="863"/>
      <c r="S26" s="864"/>
      <c r="T26" s="864"/>
      <c r="U26" s="864"/>
      <c r="V26" s="864"/>
      <c r="W26" s="864"/>
      <c r="X26" s="863"/>
      <c r="Y26" s="864"/>
      <c r="Z26" s="864"/>
      <c r="AA26" s="864"/>
      <c r="AB26" s="864"/>
      <c r="AC26" s="864"/>
      <c r="AD26" s="864"/>
      <c r="AE26" s="1"/>
      <c r="AF26" s="1"/>
      <c r="AG26" s="1"/>
      <c r="AH26" s="1"/>
      <c r="AI26" s="1"/>
    </row>
    <row r="27" spans="1:35" ht="27" thickBot="1" x14ac:dyDescent="0.3">
      <c r="B27" s="410" t="s">
        <v>323</v>
      </c>
      <c r="C27" s="406" t="s">
        <v>356</v>
      </c>
      <c r="D27" s="306" t="s">
        <v>334</v>
      </c>
      <c r="E27" s="307" t="s">
        <v>91</v>
      </c>
      <c r="F27" s="409" t="s">
        <v>358</v>
      </c>
      <c r="G27" s="408" t="s">
        <v>338</v>
      </c>
      <c r="H27" s="413" t="s">
        <v>359</v>
      </c>
      <c r="I27" s="303" t="s">
        <v>102</v>
      </c>
      <c r="J27" s="405" t="s">
        <v>373</v>
      </c>
      <c r="K27" s="423"/>
      <c r="L27" s="423"/>
      <c r="M27" s="423"/>
      <c r="N27" s="423"/>
      <c r="O27" s="423"/>
      <c r="P27" s="423"/>
      <c r="Q27" s="424"/>
      <c r="R27" s="423"/>
      <c r="S27" s="423"/>
      <c r="T27" s="423"/>
      <c r="U27" s="423"/>
      <c r="V27" s="423"/>
      <c r="W27" s="423"/>
      <c r="X27" s="423"/>
      <c r="Y27" s="423"/>
      <c r="Z27" s="423"/>
      <c r="AA27" s="423"/>
      <c r="AB27" s="423"/>
      <c r="AC27" s="423"/>
      <c r="AD27" s="423"/>
      <c r="AE27" s="1"/>
      <c r="AF27" s="1"/>
      <c r="AG27" s="1"/>
      <c r="AH27" s="1"/>
      <c r="AI27" s="1"/>
    </row>
    <row r="28" spans="1:35" x14ac:dyDescent="0.25">
      <c r="B28" s="432" t="str">
        <f t="shared" ref="B28:B37" si="8">B12</f>
        <v>Rig 1</v>
      </c>
      <c r="C28" s="742">
        <f t="shared" ref="C28:J37" si="9">IF($B$26=$B12,C12,0)</f>
        <v>0</v>
      </c>
      <c r="D28" s="411">
        <f t="shared" si="9"/>
        <v>0</v>
      </c>
      <c r="E28" s="412">
        <f t="shared" si="9"/>
        <v>0</v>
      </c>
      <c r="F28" s="744">
        <f t="shared" si="9"/>
        <v>0</v>
      </c>
      <c r="G28" s="411">
        <f t="shared" si="9"/>
        <v>0</v>
      </c>
      <c r="H28" s="747">
        <f t="shared" si="9"/>
        <v>0</v>
      </c>
      <c r="I28" s="35">
        <f t="shared" si="9"/>
        <v>0</v>
      </c>
      <c r="J28" s="433">
        <f t="shared" si="9"/>
        <v>0</v>
      </c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1"/>
      <c r="AF28" s="1"/>
      <c r="AG28" s="1"/>
      <c r="AH28" s="1"/>
      <c r="AI28" s="1"/>
    </row>
    <row r="29" spans="1:35" x14ac:dyDescent="0.25">
      <c r="B29" s="414" t="str">
        <f t="shared" si="8"/>
        <v>Rig 2</v>
      </c>
      <c r="C29" s="743">
        <f t="shared" si="9"/>
        <v>0</v>
      </c>
      <c r="D29" s="286">
        <f t="shared" si="9"/>
        <v>0</v>
      </c>
      <c r="E29" s="56">
        <f t="shared" si="9"/>
        <v>0</v>
      </c>
      <c r="F29" s="745">
        <f t="shared" si="9"/>
        <v>0</v>
      </c>
      <c r="G29" s="284">
        <f t="shared" si="9"/>
        <v>0</v>
      </c>
      <c r="H29" s="18">
        <f t="shared" si="9"/>
        <v>0</v>
      </c>
      <c r="I29" s="55">
        <f t="shared" si="9"/>
        <v>0</v>
      </c>
      <c r="J29" s="422">
        <f t="shared" si="9"/>
        <v>0</v>
      </c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1"/>
      <c r="AF29" s="1"/>
      <c r="AG29" s="1"/>
      <c r="AH29" s="1"/>
      <c r="AI29" s="1"/>
    </row>
    <row r="30" spans="1:35" x14ac:dyDescent="0.25">
      <c r="B30" s="415" t="str">
        <f t="shared" si="8"/>
        <v>Rig 3</v>
      </c>
      <c r="C30" s="683">
        <f t="shared" si="9"/>
        <v>0</v>
      </c>
      <c r="D30" s="284">
        <f t="shared" si="9"/>
        <v>0</v>
      </c>
      <c r="E30" s="10">
        <f t="shared" si="9"/>
        <v>0</v>
      </c>
      <c r="F30" s="745">
        <f t="shared" si="9"/>
        <v>0</v>
      </c>
      <c r="G30" s="284">
        <f t="shared" si="9"/>
        <v>0</v>
      </c>
      <c r="H30" s="18">
        <f t="shared" si="9"/>
        <v>0</v>
      </c>
      <c r="I30" s="57">
        <f t="shared" si="9"/>
        <v>0</v>
      </c>
      <c r="J30" s="422">
        <f t="shared" si="9"/>
        <v>0</v>
      </c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1"/>
      <c r="AF30" s="1"/>
      <c r="AG30" s="1"/>
      <c r="AH30" s="1"/>
      <c r="AI30" s="1"/>
    </row>
    <row r="31" spans="1:35" x14ac:dyDescent="0.25">
      <c r="B31" s="414" t="str">
        <f t="shared" si="8"/>
        <v>Rig 4</v>
      </c>
      <c r="C31" s="683">
        <f t="shared" si="9"/>
        <v>0</v>
      </c>
      <c r="D31" s="284">
        <f t="shared" si="9"/>
        <v>0</v>
      </c>
      <c r="E31" s="10">
        <f t="shared" si="9"/>
        <v>0</v>
      </c>
      <c r="F31" s="745">
        <f t="shared" si="9"/>
        <v>0</v>
      </c>
      <c r="G31" s="284">
        <f t="shared" si="9"/>
        <v>0</v>
      </c>
      <c r="H31" s="18">
        <f t="shared" si="9"/>
        <v>0</v>
      </c>
      <c r="I31" s="57">
        <f t="shared" si="9"/>
        <v>0</v>
      </c>
      <c r="J31" s="427">
        <f t="shared" si="9"/>
        <v>0</v>
      </c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1"/>
      <c r="AF31" s="1"/>
      <c r="AG31" s="1"/>
      <c r="AH31" s="1"/>
      <c r="AI31" s="1"/>
    </row>
    <row r="32" spans="1:35" x14ac:dyDescent="0.25">
      <c r="B32" s="414" t="str">
        <f t="shared" si="8"/>
        <v>Rig 5</v>
      </c>
      <c r="C32" s="683">
        <f t="shared" si="9"/>
        <v>0</v>
      </c>
      <c r="D32" s="284">
        <f t="shared" si="9"/>
        <v>0</v>
      </c>
      <c r="E32" s="10">
        <f t="shared" si="9"/>
        <v>0</v>
      </c>
      <c r="F32" s="745">
        <f t="shared" si="9"/>
        <v>0</v>
      </c>
      <c r="G32" s="284">
        <f t="shared" si="9"/>
        <v>0</v>
      </c>
      <c r="H32" s="18">
        <f t="shared" si="9"/>
        <v>0</v>
      </c>
      <c r="I32" s="57">
        <f t="shared" si="9"/>
        <v>0</v>
      </c>
      <c r="J32" s="314">
        <f t="shared" si="9"/>
        <v>0</v>
      </c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1"/>
      <c r="AF32" s="1"/>
      <c r="AG32" s="1"/>
      <c r="AH32" s="1"/>
      <c r="AI32" s="1"/>
    </row>
    <row r="33" spans="2:46" x14ac:dyDescent="0.25">
      <c r="B33" s="415" t="str">
        <f t="shared" si="8"/>
        <v>Rig 6</v>
      </c>
      <c r="C33" s="683">
        <f t="shared" si="9"/>
        <v>21.381717134266243</v>
      </c>
      <c r="D33" s="284">
        <f t="shared" si="9"/>
        <v>6.6552364590100233</v>
      </c>
      <c r="E33" s="10">
        <f t="shared" si="9"/>
        <v>2</v>
      </c>
      <c r="F33" s="745">
        <f t="shared" si="9"/>
        <v>23.804221597474712</v>
      </c>
      <c r="G33" s="284">
        <f t="shared" si="9"/>
        <v>6.0566954360438618</v>
      </c>
      <c r="H33" s="18">
        <f>IF($B$26=$B17,H17,0)</f>
        <v>6.6623649796482489</v>
      </c>
      <c r="I33" s="57">
        <f>IF($B$26=$B17,I17,0)</f>
        <v>0</v>
      </c>
      <c r="J33" s="314">
        <f t="shared" si="9"/>
        <v>163.64544094243922</v>
      </c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1"/>
      <c r="AF33" s="1"/>
      <c r="AG33" s="1"/>
      <c r="AH33" s="1"/>
      <c r="AI33" s="1"/>
    </row>
    <row r="34" spans="2:46" x14ac:dyDescent="0.25">
      <c r="B34" s="414" t="str">
        <f t="shared" si="8"/>
        <v>Rig 7</v>
      </c>
      <c r="C34" s="683">
        <f t="shared" si="9"/>
        <v>0</v>
      </c>
      <c r="D34" s="284">
        <f t="shared" si="9"/>
        <v>0</v>
      </c>
      <c r="E34" s="10">
        <f t="shared" si="9"/>
        <v>0</v>
      </c>
      <c r="F34" s="745">
        <f t="shared" si="9"/>
        <v>0</v>
      </c>
      <c r="G34" s="284">
        <f t="shared" si="9"/>
        <v>0</v>
      </c>
      <c r="H34" s="18">
        <f t="shared" si="9"/>
        <v>0</v>
      </c>
      <c r="I34" s="57">
        <f t="shared" si="9"/>
        <v>0</v>
      </c>
      <c r="J34" s="314">
        <f t="shared" si="9"/>
        <v>0</v>
      </c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1"/>
      <c r="AF34" s="1"/>
      <c r="AG34" s="1"/>
      <c r="AH34" s="1"/>
      <c r="AI34" s="1"/>
    </row>
    <row r="35" spans="2:46" x14ac:dyDescent="0.25">
      <c r="B35" s="414" t="str">
        <f t="shared" si="8"/>
        <v>Rig 8</v>
      </c>
      <c r="C35" s="683">
        <f t="shared" si="9"/>
        <v>0</v>
      </c>
      <c r="D35" s="284">
        <f t="shared" si="9"/>
        <v>0</v>
      </c>
      <c r="E35" s="10">
        <f t="shared" si="9"/>
        <v>0</v>
      </c>
      <c r="F35" s="745">
        <f t="shared" si="9"/>
        <v>0</v>
      </c>
      <c r="G35" s="284">
        <f t="shared" si="9"/>
        <v>0</v>
      </c>
      <c r="H35" s="18">
        <f t="shared" si="9"/>
        <v>0</v>
      </c>
      <c r="I35" s="57">
        <f t="shared" si="9"/>
        <v>0</v>
      </c>
      <c r="J35" s="314">
        <f t="shared" si="9"/>
        <v>0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1"/>
      <c r="AF35" s="1"/>
      <c r="AG35" s="1"/>
      <c r="AH35" s="1"/>
      <c r="AI35" s="1"/>
    </row>
    <row r="36" spans="2:46" x14ac:dyDescent="0.25">
      <c r="B36" s="415" t="str">
        <f t="shared" si="8"/>
        <v>Rig 9</v>
      </c>
      <c r="C36" s="683">
        <f t="shared" si="9"/>
        <v>0</v>
      </c>
      <c r="D36" s="284">
        <f t="shared" si="9"/>
        <v>0</v>
      </c>
      <c r="E36" s="10">
        <f t="shared" si="9"/>
        <v>0</v>
      </c>
      <c r="F36" s="745">
        <f t="shared" si="9"/>
        <v>0</v>
      </c>
      <c r="G36" s="284">
        <f t="shared" si="9"/>
        <v>0</v>
      </c>
      <c r="H36" s="18">
        <f t="shared" si="9"/>
        <v>0</v>
      </c>
      <c r="I36" s="57">
        <f t="shared" si="9"/>
        <v>0</v>
      </c>
      <c r="J36" s="314">
        <f t="shared" si="9"/>
        <v>0</v>
      </c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1"/>
      <c r="AF36" s="3"/>
      <c r="AG36" s="3"/>
      <c r="AH36" s="3"/>
      <c r="AI36" s="3"/>
      <c r="AJ36" s="318"/>
      <c r="AK36" s="318"/>
      <c r="AL36" s="318"/>
      <c r="AM36" s="318"/>
      <c r="AN36" s="318"/>
      <c r="AO36" s="318"/>
      <c r="AP36" s="318"/>
      <c r="AQ36" s="318"/>
      <c r="AR36" s="318"/>
      <c r="AS36" s="23"/>
      <c r="AT36" s="23"/>
    </row>
    <row r="37" spans="2:46" ht="13.8" thickBot="1" x14ac:dyDescent="0.3">
      <c r="B37" s="434" t="str">
        <f t="shared" si="8"/>
        <v>Rig 10</v>
      </c>
      <c r="C37" s="684">
        <f t="shared" si="9"/>
        <v>0</v>
      </c>
      <c r="D37" s="285">
        <f t="shared" si="9"/>
        <v>0</v>
      </c>
      <c r="E37" s="60">
        <f t="shared" si="9"/>
        <v>0</v>
      </c>
      <c r="F37" s="746">
        <f t="shared" si="9"/>
        <v>0</v>
      </c>
      <c r="G37" s="285">
        <f t="shared" si="9"/>
        <v>0</v>
      </c>
      <c r="H37" s="19">
        <f t="shared" si="9"/>
        <v>0</v>
      </c>
      <c r="I37" s="59">
        <f t="shared" si="9"/>
        <v>0</v>
      </c>
      <c r="J37" s="315">
        <f t="shared" si="9"/>
        <v>0</v>
      </c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1"/>
      <c r="AF37" s="3"/>
      <c r="AG37" s="3"/>
      <c r="AH37" s="3"/>
      <c r="AI37" s="3"/>
      <c r="AJ37" s="318"/>
      <c r="AK37" s="318"/>
      <c r="AL37" s="318"/>
      <c r="AM37" s="318"/>
      <c r="AN37" s="318"/>
      <c r="AO37" s="318"/>
      <c r="AP37" s="318"/>
      <c r="AQ37" s="318"/>
      <c r="AR37" s="318"/>
      <c r="AS37" s="23"/>
      <c r="AT37" s="23"/>
    </row>
    <row r="38" spans="2:46" ht="13.8" thickBot="1" x14ac:dyDescent="0.3">
      <c r="B38" s="434" t="str">
        <f>D5</f>
        <v>Rig 6</v>
      </c>
      <c r="C38" s="684">
        <f t="shared" ref="C38:J38" si="10">MAX(C28:C37)</f>
        <v>21.381717134266243</v>
      </c>
      <c r="D38" s="285">
        <f t="shared" si="10"/>
        <v>6.6552364590100233</v>
      </c>
      <c r="E38" s="60">
        <f t="shared" si="10"/>
        <v>2</v>
      </c>
      <c r="F38" s="746">
        <f t="shared" si="10"/>
        <v>23.804221597474712</v>
      </c>
      <c r="G38" s="285">
        <f t="shared" si="10"/>
        <v>6.0566954360438618</v>
      </c>
      <c r="H38" s="19">
        <f t="shared" si="10"/>
        <v>6.6623649796482489</v>
      </c>
      <c r="I38" s="59">
        <f t="shared" si="10"/>
        <v>0</v>
      </c>
      <c r="J38" s="748">
        <f t="shared" si="10"/>
        <v>163.64544094243922</v>
      </c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1"/>
      <c r="AF38" s="3"/>
      <c r="AG38" s="3"/>
      <c r="AH38" s="3"/>
      <c r="AI38" s="3"/>
      <c r="AJ38" s="318"/>
      <c r="AK38" s="318"/>
      <c r="AL38" s="318"/>
      <c r="AM38" s="318"/>
      <c r="AN38" s="318"/>
      <c r="AO38" s="318"/>
      <c r="AP38" s="318"/>
      <c r="AQ38" s="318"/>
      <c r="AR38" s="318"/>
      <c r="AS38" s="23"/>
      <c r="AT38" s="23"/>
    </row>
    <row r="39" spans="2:46" x14ac:dyDescent="0.25"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18"/>
      <c r="AK39" s="318"/>
      <c r="AL39" s="318"/>
      <c r="AM39" s="318"/>
      <c r="AN39" s="318"/>
      <c r="AO39" s="318"/>
      <c r="AP39" s="318"/>
      <c r="AQ39" s="318"/>
      <c r="AR39" s="318"/>
      <c r="AS39" s="23"/>
      <c r="AT39" s="23"/>
    </row>
    <row r="40" spans="2:46" x14ac:dyDescent="0.25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18"/>
      <c r="AK40" s="318"/>
      <c r="AL40" s="318"/>
      <c r="AM40" s="318"/>
      <c r="AN40" s="318"/>
      <c r="AO40" s="318"/>
      <c r="AP40" s="318"/>
      <c r="AQ40" s="318"/>
      <c r="AR40" s="318"/>
      <c r="AS40" s="23"/>
      <c r="AT40" s="23"/>
    </row>
    <row r="41" spans="2:46" x14ac:dyDescent="0.25">
      <c r="B41" s="3"/>
      <c r="C41" s="3"/>
      <c r="D41" s="3"/>
      <c r="E41" s="3"/>
      <c r="F41" s="3"/>
      <c r="G41" s="3"/>
      <c r="H41" s="3"/>
      <c r="I41" s="3"/>
      <c r="J41" s="3"/>
      <c r="K41" s="3"/>
      <c r="L41" s="2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18"/>
      <c r="AK41" s="318"/>
      <c r="AL41" s="318"/>
      <c r="AM41" s="318"/>
      <c r="AN41" s="318"/>
      <c r="AO41" s="318"/>
      <c r="AP41" s="318"/>
      <c r="AQ41" s="318"/>
      <c r="AR41" s="318"/>
      <c r="AS41" s="23"/>
      <c r="AT41" s="23"/>
    </row>
    <row r="42" spans="2:46" x14ac:dyDescent="0.25"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1"/>
      <c r="AF42" s="1"/>
      <c r="AG42" s="1"/>
      <c r="AH42" s="1"/>
      <c r="AI42" s="1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2:46" x14ac:dyDescent="0.25">
      <c r="B43" s="3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2:46" x14ac:dyDescent="0.25">
      <c r="B44" s="6"/>
      <c r="C44" s="1"/>
      <c r="D44" s="1"/>
      <c r="E44" s="1"/>
      <c r="F44" s="1"/>
      <c r="G44" s="1"/>
      <c r="H44" s="1"/>
      <c r="I44" s="1"/>
      <c r="J44" s="1"/>
      <c r="K44" s="1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2:46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2:46" x14ac:dyDescent="0.25">
      <c r="B46" s="1"/>
      <c r="C46" s="1"/>
      <c r="D46" s="1"/>
      <c r="E46" s="1"/>
      <c r="F46" s="1"/>
      <c r="G46" s="1"/>
      <c r="H46" s="1"/>
      <c r="I46" s="1"/>
      <c r="J46" s="1"/>
      <c r="K46" s="1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2:46" x14ac:dyDescent="0.25">
      <c r="B47" s="1"/>
      <c r="C47" s="1"/>
      <c r="D47" s="1"/>
      <c r="E47" s="1"/>
      <c r="F47" s="1"/>
      <c r="G47" s="1"/>
      <c r="H47" s="1"/>
      <c r="I47" s="1"/>
      <c r="J47" s="1"/>
      <c r="K47" s="1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2:46" x14ac:dyDescent="0.25">
      <c r="B48" s="1"/>
      <c r="C48" s="1"/>
      <c r="D48" s="1"/>
      <c r="E48" s="1"/>
      <c r="F48" s="1"/>
      <c r="G48" s="1"/>
      <c r="H48" s="1"/>
      <c r="I48" s="1"/>
      <c r="J48" s="1"/>
      <c r="K48" s="1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2:46" x14ac:dyDescent="0.25">
      <c r="B49" s="1"/>
      <c r="C49" s="1"/>
      <c r="D49" s="1"/>
      <c r="E49" s="1"/>
      <c r="F49" s="1"/>
      <c r="G49" s="1"/>
      <c r="H49" s="1"/>
      <c r="I49" s="1"/>
      <c r="J49" s="1"/>
      <c r="K49" s="1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2:46" x14ac:dyDescent="0.25"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2:46" x14ac:dyDescent="0.25"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2:46" x14ac:dyDescent="0.25"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</sheetData>
  <sheetProtection selectLockedCells="1"/>
  <mergeCells count="17">
    <mergeCell ref="C26:E26"/>
    <mergeCell ref="F26:H26"/>
    <mergeCell ref="D5:F7"/>
    <mergeCell ref="C10:E10"/>
    <mergeCell ref="F10:H10"/>
    <mergeCell ref="B5:C7"/>
    <mergeCell ref="K26:O26"/>
    <mergeCell ref="P26:Q26"/>
    <mergeCell ref="R26:W26"/>
    <mergeCell ref="X26:AD26"/>
    <mergeCell ref="K10:O10"/>
    <mergeCell ref="P10:Q10"/>
    <mergeCell ref="H5:H7"/>
    <mergeCell ref="I5:I7"/>
    <mergeCell ref="B2:J3"/>
    <mergeCell ref="R10:W10"/>
    <mergeCell ref="X10:AD10"/>
  </mergeCells>
  <dataValidations count="1">
    <dataValidation type="list" allowBlank="1" showInputMessage="1" showErrorMessage="1" sqref="D5">
      <formula1>$B$12:$B$21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S50"/>
  <sheetViews>
    <sheetView zoomScale="89" workbookViewId="0">
      <selection activeCell="P5" sqref="P5"/>
    </sheetView>
  </sheetViews>
  <sheetFormatPr defaultRowHeight="13.2" x14ac:dyDescent="0.25"/>
  <cols>
    <col min="2" max="2" width="2.5546875" customWidth="1"/>
    <col min="3" max="3" width="35.6640625" customWidth="1"/>
    <col min="4" max="4" width="10.6640625" customWidth="1"/>
    <col min="5" max="5" width="1.109375" customWidth="1"/>
    <col min="6" max="6" width="38.6640625" customWidth="1"/>
    <col min="7" max="7" width="10.6640625" customWidth="1"/>
    <col min="8" max="8" width="1.5546875" customWidth="1"/>
    <col min="9" max="9" width="25.33203125" customWidth="1"/>
    <col min="10" max="10" width="15.44140625" customWidth="1"/>
    <col min="11" max="11" width="11.6640625" customWidth="1"/>
    <col min="12" max="12" width="17.44140625" customWidth="1"/>
    <col min="13" max="13" width="14.44140625" customWidth="1"/>
    <col min="14" max="14" width="15.88671875" customWidth="1"/>
    <col min="15" max="15" width="2.6640625" customWidth="1"/>
    <col min="16" max="16" width="16" customWidth="1"/>
    <col min="17" max="17" width="14.44140625" customWidth="1"/>
    <col min="18" max="18" width="15.6640625" customWidth="1"/>
  </cols>
  <sheetData>
    <row r="1" spans="2:19" ht="13.8" thickBot="1" x14ac:dyDescent="0.3"/>
    <row r="2" spans="2:19" ht="26.25" customHeight="1" thickBot="1" x14ac:dyDescent="0.3">
      <c r="B2" s="636"/>
      <c r="C2" s="888" t="s">
        <v>393</v>
      </c>
      <c r="D2" s="888"/>
      <c r="E2" s="888"/>
      <c r="F2" s="888"/>
      <c r="G2" s="888"/>
      <c r="H2" s="888"/>
      <c r="I2" s="888"/>
      <c r="J2" s="888"/>
      <c r="K2" s="888"/>
      <c r="L2" s="888"/>
      <c r="M2" s="888"/>
      <c r="N2" s="888"/>
      <c r="O2" s="636"/>
      <c r="P2" s="22"/>
      <c r="Q2" s="23"/>
    </row>
    <row r="3" spans="2:19" ht="13.8" thickBot="1" x14ac:dyDescent="0.3">
      <c r="B3" s="636"/>
      <c r="C3" s="23"/>
      <c r="D3" s="23"/>
      <c r="E3" s="23"/>
      <c r="F3" s="6"/>
      <c r="G3" s="6"/>
      <c r="H3" s="6"/>
      <c r="M3" s="6"/>
      <c r="N3" s="6"/>
      <c r="O3" s="643"/>
      <c r="P3" s="54"/>
      <c r="Q3" s="6"/>
      <c r="R3" s="6"/>
      <c r="S3" s="1"/>
    </row>
    <row r="4" spans="2:19" ht="13.8" thickBot="1" x14ac:dyDescent="0.3">
      <c r="B4" s="637"/>
      <c r="C4" s="613" t="s">
        <v>2</v>
      </c>
      <c r="D4" s="614"/>
      <c r="E4" s="23"/>
      <c r="F4" s="616" t="s">
        <v>26</v>
      </c>
      <c r="G4" s="622">
        <f>D5/1.025</f>
        <v>17.073170731707318</v>
      </c>
      <c r="H4" s="7"/>
      <c r="I4" s="34" t="s">
        <v>73</v>
      </c>
      <c r="J4" s="631">
        <v>0</v>
      </c>
      <c r="O4" s="637"/>
      <c r="P4" s="7"/>
      <c r="Q4" s="7"/>
      <c r="R4" s="7"/>
      <c r="S4" s="1"/>
    </row>
    <row r="5" spans="2:19" ht="13.8" thickBot="1" x14ac:dyDescent="0.3">
      <c r="B5" s="637"/>
      <c r="C5" s="45" t="s">
        <v>3</v>
      </c>
      <c r="D5" s="398">
        <f>'Initial Boat Data'!C48</f>
        <v>17.5</v>
      </c>
      <c r="E5" s="23"/>
      <c r="F5" s="617" t="s">
        <v>27</v>
      </c>
      <c r="G5" s="624">
        <f>G4-G14-G21-G30-G41</f>
        <v>15.578279919919144</v>
      </c>
      <c r="H5" s="3"/>
      <c r="I5" s="425" t="s">
        <v>82</v>
      </c>
      <c r="J5" s="41">
        <f>D39+D25</f>
        <v>-0.90819588175038546</v>
      </c>
      <c r="L5" s="892" t="s">
        <v>347</v>
      </c>
      <c r="M5" s="895" t="str">
        <f>'Initial Boat Data'!D5:D7</f>
        <v>c</v>
      </c>
      <c r="O5" s="637"/>
      <c r="P5" s="3"/>
      <c r="Q5" s="3"/>
      <c r="R5" s="3"/>
      <c r="S5" s="1"/>
    </row>
    <row r="6" spans="2:19" ht="13.8" thickBot="1" x14ac:dyDescent="0.3">
      <c r="B6" s="637"/>
      <c r="C6" s="46" t="s">
        <v>18</v>
      </c>
      <c r="D6" s="399">
        <f>'Initial Boat Data'!D48</f>
        <v>0.35</v>
      </c>
      <c r="E6" s="23"/>
      <c r="F6" s="23"/>
      <c r="G6" s="23"/>
      <c r="H6" s="23"/>
      <c r="I6" s="33" t="s">
        <v>83</v>
      </c>
      <c r="J6" s="25">
        <f>D40+D25</f>
        <v>-2.2536712621213266</v>
      </c>
      <c r="L6" s="893"/>
      <c r="M6" s="896"/>
      <c r="O6" s="637"/>
      <c r="P6" s="23"/>
      <c r="Q6" s="23"/>
      <c r="R6" s="1"/>
      <c r="S6" s="1"/>
    </row>
    <row r="7" spans="2:19" ht="13.8" thickBot="1" x14ac:dyDescent="0.3">
      <c r="B7" s="637"/>
      <c r="C7" s="47" t="s">
        <v>62</v>
      </c>
      <c r="D7" s="618">
        <f>D11/G4^0.3333</f>
        <v>5.7287741759901989</v>
      </c>
      <c r="E7" s="23"/>
      <c r="F7" s="23"/>
      <c r="G7" s="23"/>
      <c r="H7" s="23"/>
      <c r="I7" s="33" t="s">
        <v>366</v>
      </c>
      <c r="J7" s="18">
        <f>-1*($D$25)+($J$5*COS(PI()*$J$4/180))</f>
        <v>-1.5972679698303842</v>
      </c>
      <c r="L7" s="894"/>
      <c r="M7" s="897"/>
      <c r="O7" s="637"/>
      <c r="P7" s="23"/>
      <c r="Q7" s="23"/>
      <c r="R7" s="1"/>
      <c r="S7" s="1"/>
    </row>
    <row r="8" spans="2:19" ht="13.8" thickBot="1" x14ac:dyDescent="0.3">
      <c r="B8" s="637"/>
      <c r="C8" s="23"/>
      <c r="D8" s="23"/>
      <c r="E8" s="23"/>
      <c r="F8" s="614" t="s">
        <v>12</v>
      </c>
      <c r="G8" s="614"/>
      <c r="H8" s="23"/>
      <c r="I8" s="426" t="s">
        <v>367</v>
      </c>
      <c r="J8" s="19">
        <f>-1*($D$25)+($J$6*COS(PI()*$J$4/180))</f>
        <v>-2.9427433502013254</v>
      </c>
      <c r="O8" s="637"/>
      <c r="P8" s="23"/>
      <c r="Q8" s="23"/>
    </row>
    <row r="9" spans="2:19" ht="13.8" thickBot="1" x14ac:dyDescent="0.3">
      <c r="B9" s="637"/>
      <c r="C9" s="613" t="s">
        <v>28</v>
      </c>
      <c r="D9" s="614"/>
      <c r="E9" s="23"/>
      <c r="F9" s="288" t="s">
        <v>4</v>
      </c>
      <c r="G9" s="398">
        <f>'Initial Boat Data'!Q48</f>
        <v>2.2297753662360469</v>
      </c>
      <c r="H9" s="23"/>
      <c r="L9" s="898" t="s">
        <v>348</v>
      </c>
      <c r="M9" s="899"/>
      <c r="N9" s="23"/>
      <c r="O9" s="637"/>
      <c r="P9" s="23"/>
      <c r="Q9" s="23"/>
    </row>
    <row r="10" spans="2:19" ht="13.8" thickBot="1" x14ac:dyDescent="0.3">
      <c r="B10" s="637"/>
      <c r="C10" s="13" t="s">
        <v>31</v>
      </c>
      <c r="D10" s="400">
        <f>'Initial Boat Data'!E48</f>
        <v>16.75</v>
      </c>
      <c r="E10" s="23"/>
      <c r="F10" s="289" t="s">
        <v>5</v>
      </c>
      <c r="G10" s="401">
        <f>'Initial Boat Data'!R48</f>
        <v>0.12</v>
      </c>
      <c r="H10" s="23"/>
      <c r="I10" s="614" t="s">
        <v>59</v>
      </c>
      <c r="J10" s="614"/>
      <c r="L10" s="900"/>
      <c r="M10" s="901"/>
      <c r="O10" s="637"/>
      <c r="Q10" s="23"/>
    </row>
    <row r="11" spans="2:19" ht="13.8" thickBot="1" x14ac:dyDescent="0.3">
      <c r="B11" s="637"/>
      <c r="C11" s="8" t="s">
        <v>29</v>
      </c>
      <c r="D11" s="401">
        <f>'Initial Boat Data'!F48</f>
        <v>14.75</v>
      </c>
      <c r="E11" s="23"/>
      <c r="F11" s="289" t="s">
        <v>6</v>
      </c>
      <c r="G11" s="401">
        <f>'Initial Boat Data'!S48</f>
        <v>2.0067978296124425</v>
      </c>
      <c r="H11" s="23"/>
      <c r="I11" s="665" t="s">
        <v>58</v>
      </c>
      <c r="J11" s="663">
        <f>(($D$35*$D$36)+($D$38*$D$37)+($G$15*J7)+($G$19*J8)+($G$31*$D$41)+($G$42*$D$42))/($D$5*1000)</f>
        <v>-0.24332346597467311</v>
      </c>
      <c r="L11" s="902" t="s">
        <v>349</v>
      </c>
      <c r="M11" s="903"/>
      <c r="O11" s="637"/>
      <c r="Q11" s="23"/>
    </row>
    <row r="12" spans="2:19" ht="13.8" thickBot="1" x14ac:dyDescent="0.3">
      <c r="B12" s="637"/>
      <c r="C12" s="8" t="s">
        <v>32</v>
      </c>
      <c r="D12" s="401">
        <f>'Initial Boat Data'!G48</f>
        <v>4.5999999999999996</v>
      </c>
      <c r="E12" s="23"/>
      <c r="F12" s="289" t="s">
        <v>7</v>
      </c>
      <c r="G12" s="401">
        <f>'Initial Boat Data'!T48</f>
        <v>0.1</v>
      </c>
      <c r="H12" s="23"/>
      <c r="I12" s="785" t="s">
        <v>60</v>
      </c>
      <c r="J12" s="4">
        <f>D31</f>
        <v>-0.24117523082799955</v>
      </c>
      <c r="L12" s="904"/>
      <c r="M12" s="905"/>
      <c r="O12" s="637"/>
      <c r="Q12" s="23"/>
    </row>
    <row r="13" spans="2:19" ht="13.8" thickBot="1" x14ac:dyDescent="0.3">
      <c r="B13" s="637"/>
      <c r="C13" s="12" t="s">
        <v>30</v>
      </c>
      <c r="D13" s="402">
        <f>'Initial Boat Data'!H48</f>
        <v>0.85</v>
      </c>
      <c r="E13" s="23"/>
      <c r="F13" s="660" t="s">
        <v>8</v>
      </c>
      <c r="G13" s="402">
        <f>'Initial Boat Data'!U48</f>
        <v>2.2536712621213266</v>
      </c>
      <c r="H13" s="23"/>
      <c r="I13" s="40" t="s">
        <v>61</v>
      </c>
      <c r="J13" s="5">
        <f>D30</f>
        <v>2.1228998677429742</v>
      </c>
      <c r="M13" s="23"/>
      <c r="O13" s="637"/>
      <c r="Q13" s="23"/>
    </row>
    <row r="14" spans="2:19" ht="13.8" thickBot="1" x14ac:dyDescent="0.3">
      <c r="B14" s="637"/>
      <c r="C14" s="13" t="s">
        <v>37</v>
      </c>
      <c r="D14" s="619">
        <f>D13*D12</f>
        <v>3.9099999999999997</v>
      </c>
      <c r="E14" s="23"/>
      <c r="F14" s="396" t="s">
        <v>19</v>
      </c>
      <c r="G14" s="627">
        <f>0.5*0.66*((G9*G9*G10)+(G11*G11*G12))*G13</f>
        <v>0.7432292455806212</v>
      </c>
      <c r="H14" s="23"/>
      <c r="I14" s="21" t="s">
        <v>0</v>
      </c>
      <c r="J14" s="630">
        <f>J12+J13-J11</f>
        <v>2.125048102889648</v>
      </c>
      <c r="L14" s="615" t="s">
        <v>70</v>
      </c>
      <c r="M14" s="889" t="s">
        <v>71</v>
      </c>
      <c r="N14" s="890"/>
      <c r="O14" s="637"/>
      <c r="Q14" s="23"/>
    </row>
    <row r="15" spans="2:19" ht="13.8" thickBot="1" x14ac:dyDescent="0.3">
      <c r="B15" s="637"/>
      <c r="C15" s="8" t="s">
        <v>35</v>
      </c>
      <c r="D15" s="620">
        <f>D10/D12</f>
        <v>3.6413043478260874</v>
      </c>
      <c r="E15" s="23"/>
      <c r="F15" s="289" t="s">
        <v>20</v>
      </c>
      <c r="G15" s="661">
        <f>((D5*1000)*D6)-G19</f>
        <v>750</v>
      </c>
      <c r="H15" s="23"/>
      <c r="L15" s="431">
        <v>100000000000</v>
      </c>
      <c r="M15" s="886">
        <f>L42*L15+N42</f>
        <v>558894245351.12463</v>
      </c>
      <c r="N15" s="887"/>
      <c r="O15" s="637"/>
      <c r="Q15" s="23"/>
    </row>
    <row r="16" spans="2:19" ht="13.8" thickBot="1" x14ac:dyDescent="0.3">
      <c r="B16" s="637"/>
      <c r="C16" s="9" t="s">
        <v>36</v>
      </c>
      <c r="D16" s="621">
        <f>D11/D14</f>
        <v>3.7723785166240411</v>
      </c>
      <c r="E16" s="23"/>
      <c r="F16" s="662" t="s">
        <v>394</v>
      </c>
      <c r="G16" s="659">
        <f>G15/G14</f>
        <v>1009.109913878711</v>
      </c>
      <c r="H16" s="23"/>
      <c r="L16" s="22"/>
      <c r="M16" s="23"/>
      <c r="N16" s="23"/>
      <c r="O16" s="637"/>
    </row>
    <row r="17" spans="2:18" ht="13.8" thickBot="1" x14ac:dyDescent="0.3">
      <c r="B17" s="637"/>
      <c r="C17" s="23"/>
      <c r="D17" s="23"/>
      <c r="E17" s="23"/>
      <c r="F17" s="23"/>
      <c r="G17" s="23"/>
      <c r="H17" s="23"/>
      <c r="L17" s="615" t="s">
        <v>1</v>
      </c>
      <c r="M17" s="890" t="s">
        <v>72</v>
      </c>
      <c r="N17" s="891"/>
      <c r="O17" s="637"/>
    </row>
    <row r="18" spans="2:18" ht="13.8" thickBot="1" x14ac:dyDescent="0.3">
      <c r="B18" s="637"/>
      <c r="C18" s="613" t="s">
        <v>39</v>
      </c>
      <c r="D18" s="614"/>
      <c r="E18" s="23"/>
      <c r="F18" s="614" t="s">
        <v>13</v>
      </c>
      <c r="G18" s="614"/>
      <c r="H18" s="23"/>
      <c r="L18" s="431">
        <v>77.48</v>
      </c>
      <c r="M18" s="886">
        <f>(L18-N42)/L42</f>
        <v>13.115698212914008</v>
      </c>
      <c r="N18" s="887"/>
      <c r="O18" s="637"/>
    </row>
    <row r="19" spans="2:18" ht="13.8" thickBot="1" x14ac:dyDescent="0.3">
      <c r="B19" s="637"/>
      <c r="C19" s="11" t="s">
        <v>33</v>
      </c>
      <c r="D19" s="398">
        <f>'Initial Boat Data'!I48</f>
        <v>0.56000000000000005</v>
      </c>
      <c r="E19" s="23"/>
      <c r="F19" s="11" t="s">
        <v>11</v>
      </c>
      <c r="G19" s="398">
        <f>'Initial Boat Data'!V48</f>
        <v>5375</v>
      </c>
      <c r="H19" s="23"/>
      <c r="O19" s="637"/>
    </row>
    <row r="20" spans="2:18" ht="13.8" thickBot="1" x14ac:dyDescent="0.3">
      <c r="B20" s="637"/>
      <c r="C20" s="8" t="s">
        <v>34</v>
      </c>
      <c r="D20" s="402">
        <f>'Initial Boat Data'!J48</f>
        <v>0.7</v>
      </c>
      <c r="E20" s="23"/>
      <c r="F20" s="12" t="s">
        <v>9</v>
      </c>
      <c r="G20" s="402">
        <f>'Initial Boat Data'!W48</f>
        <v>11300</v>
      </c>
      <c r="H20" s="23"/>
      <c r="I20" s="666" t="s">
        <v>63</v>
      </c>
      <c r="J20" s="614"/>
      <c r="K20" s="44"/>
      <c r="O20" s="637"/>
    </row>
    <row r="21" spans="2:18" ht="13.8" thickBot="1" x14ac:dyDescent="0.3">
      <c r="B21" s="637"/>
      <c r="C21" s="9" t="s">
        <v>38</v>
      </c>
      <c r="D21" s="618">
        <f>D19*D20</f>
        <v>0.39200000000000002</v>
      </c>
      <c r="E21" s="23"/>
      <c r="F21" s="664" t="s">
        <v>395</v>
      </c>
      <c r="G21" s="663">
        <f>G19/G20</f>
        <v>0.47566371681415931</v>
      </c>
      <c r="H21" s="23"/>
      <c r="I21" s="42"/>
      <c r="J21" s="43"/>
      <c r="K21" s="20"/>
      <c r="M21" s="23"/>
      <c r="O21" s="637"/>
    </row>
    <row r="22" spans="2:18" ht="13.8" thickBot="1" x14ac:dyDescent="0.3">
      <c r="B22" s="637"/>
      <c r="C22" s="23"/>
      <c r="D22" s="23"/>
      <c r="E22" s="23"/>
      <c r="F22" s="23"/>
      <c r="G22" s="23"/>
      <c r="H22" s="23"/>
      <c r="I22" s="36" t="s">
        <v>64</v>
      </c>
      <c r="J22" s="36" t="s">
        <v>76</v>
      </c>
      <c r="K22" s="36" t="s">
        <v>77</v>
      </c>
      <c r="L22" s="36" t="s">
        <v>78</v>
      </c>
      <c r="M22" s="36" t="s">
        <v>79</v>
      </c>
      <c r="N22" s="49" t="s">
        <v>1</v>
      </c>
      <c r="O22" s="637"/>
    </row>
    <row r="23" spans="2:18" ht="13.8" thickBot="1" x14ac:dyDescent="0.3">
      <c r="B23" s="637"/>
      <c r="C23" s="613" t="s">
        <v>46</v>
      </c>
      <c r="D23" s="614"/>
      <c r="E23" s="23"/>
      <c r="F23" s="614" t="s">
        <v>14</v>
      </c>
      <c r="G23" s="614"/>
      <c r="H23" s="23"/>
      <c r="I23" s="37"/>
      <c r="J23" s="38"/>
      <c r="K23" s="38" t="s">
        <v>81</v>
      </c>
      <c r="L23" s="38" t="s">
        <v>81</v>
      </c>
      <c r="M23" s="38" t="s">
        <v>81</v>
      </c>
      <c r="N23" s="50" t="s">
        <v>80</v>
      </c>
      <c r="O23" s="637"/>
    </row>
    <row r="24" spans="2:18" x14ac:dyDescent="0.25">
      <c r="B24" s="637"/>
      <c r="C24" s="13" t="s">
        <v>40</v>
      </c>
      <c r="D24" s="622">
        <f>G5/(D19*D11)</f>
        <v>1.8859903050749565</v>
      </c>
      <c r="E24" s="23"/>
      <c r="F24" s="11" t="s">
        <v>4</v>
      </c>
      <c r="G24" s="400">
        <f>'Initial Boat Data'!X48</f>
        <v>0</v>
      </c>
      <c r="H24" s="23"/>
      <c r="I24" s="32">
        <v>0</v>
      </c>
      <c r="J24" s="32">
        <f t="shared" ref="J24:J39" si="0">I24+$J$4</f>
        <v>0</v>
      </c>
      <c r="K24" s="41">
        <f t="shared" ref="K24:K39" si="1">$J$14*SIN(PI()*I24/180)*COS(PI()*I24/180)</f>
        <v>0</v>
      </c>
      <c r="L24" s="32">
        <f t="shared" ref="L24:L39" si="2">-1*(($J$5*SIN(PI()*$J$4/180)*$G$15)+($J$6*SIN(PI()*$J$4/180)*$G$19))/(1000*$D$5)</f>
        <v>0</v>
      </c>
      <c r="M24" s="32">
        <f t="shared" ref="M24:M39" si="3">K24+L24</f>
        <v>0</v>
      </c>
      <c r="N24" s="51">
        <f t="shared" ref="N24:N39" si="4">$D$5*9.81*M24</f>
        <v>0</v>
      </c>
      <c r="O24" s="637"/>
    </row>
    <row r="25" spans="2:18" x14ac:dyDescent="0.25">
      <c r="B25" s="637"/>
      <c r="C25" s="8" t="s">
        <v>41</v>
      </c>
      <c r="D25" s="623">
        <f>D24/(D20*D14)</f>
        <v>0.68907208807999876</v>
      </c>
      <c r="E25" s="23"/>
      <c r="F25" s="8" t="s">
        <v>5</v>
      </c>
      <c r="G25" s="401">
        <f>'Initial Boat Data'!Y48</f>
        <v>0</v>
      </c>
      <c r="H25" s="23"/>
      <c r="I25" s="30">
        <v>2</v>
      </c>
      <c r="J25" s="30">
        <f t="shared" si="0"/>
        <v>2</v>
      </c>
      <c r="K25" s="25">
        <f t="shared" si="1"/>
        <v>7.411793109711251E-2</v>
      </c>
      <c r="L25" s="29">
        <f t="shared" si="2"/>
        <v>0</v>
      </c>
      <c r="M25" s="30">
        <f t="shared" si="3"/>
        <v>7.411793109711251E-2</v>
      </c>
      <c r="N25" s="27">
        <f t="shared" si="4"/>
        <v>12.72419582109679</v>
      </c>
      <c r="O25" s="637"/>
    </row>
    <row r="26" spans="2:18" x14ac:dyDescent="0.25">
      <c r="B26" s="637"/>
      <c r="C26" s="8" t="s">
        <v>42</v>
      </c>
      <c r="D26" s="620">
        <f>(D11*D14)*((1.313*D19)+(0.0371*D11/G5^0.333)-(0.0857*D19*D11/G5^0.333))</f>
        <v>38.69214094270113</v>
      </c>
      <c r="E26" s="23"/>
      <c r="F26" s="8" t="s">
        <v>6</v>
      </c>
      <c r="G26" s="401">
        <f>'Initial Boat Data'!Z48</f>
        <v>0</v>
      </c>
      <c r="H26" s="23"/>
      <c r="I26" s="30">
        <v>4</v>
      </c>
      <c r="J26" s="30">
        <f t="shared" si="0"/>
        <v>4</v>
      </c>
      <c r="K26" s="25">
        <f t="shared" si="1"/>
        <v>0.14787476708422825</v>
      </c>
      <c r="L26" s="29">
        <f t="shared" si="2"/>
        <v>0</v>
      </c>
      <c r="M26" s="30">
        <f t="shared" si="3"/>
        <v>0.14787476708422825</v>
      </c>
      <c r="N26" s="27">
        <f t="shared" si="4"/>
        <v>25.386400639184888</v>
      </c>
      <c r="O26" s="637"/>
    </row>
    <row r="27" spans="2:18" x14ac:dyDescent="0.25">
      <c r="B27" s="637"/>
      <c r="C27" s="8" t="s">
        <v>43</v>
      </c>
      <c r="D27" s="620">
        <f>(1.97+(0.171*D14/D25))*((0.65/D20)^0.333)*(G5*D11)^0.5</f>
        <v>43.484113919701294</v>
      </c>
      <c r="E27" s="23"/>
      <c r="F27" s="8" t="s">
        <v>7</v>
      </c>
      <c r="G27" s="401">
        <f>'Initial Boat Data'!AA48</f>
        <v>0</v>
      </c>
      <c r="H27" s="23"/>
      <c r="I27" s="30">
        <v>6</v>
      </c>
      <c r="J27" s="30">
        <f t="shared" si="0"/>
        <v>6</v>
      </c>
      <c r="K27" s="25">
        <f t="shared" si="1"/>
        <v>0.22091117207042921</v>
      </c>
      <c r="L27" s="29">
        <f t="shared" si="2"/>
        <v>0</v>
      </c>
      <c r="M27" s="30">
        <f t="shared" si="3"/>
        <v>0.22091117207042921</v>
      </c>
      <c r="N27" s="27">
        <f t="shared" si="4"/>
        <v>37.924925465190938</v>
      </c>
      <c r="O27" s="637"/>
      <c r="Q27" s="23"/>
      <c r="R27" s="23"/>
    </row>
    <row r="28" spans="2:18" x14ac:dyDescent="0.25">
      <c r="B28" s="637"/>
      <c r="C28" s="8" t="s">
        <v>44</v>
      </c>
      <c r="D28" s="623">
        <f>D26/(D11*D14)</f>
        <v>0.67089411665353738</v>
      </c>
      <c r="E28" s="23"/>
      <c r="F28" s="8" t="s">
        <v>8</v>
      </c>
      <c r="G28" s="401">
        <f>'Initial Boat Data'!AB48</f>
        <v>0</v>
      </c>
      <c r="H28" s="23"/>
      <c r="I28" s="30">
        <v>8</v>
      </c>
      <c r="J28" s="30">
        <f t="shared" si="0"/>
        <v>8</v>
      </c>
      <c r="K28" s="25">
        <f t="shared" si="1"/>
        <v>0.2928713200322165</v>
      </c>
      <c r="L28" s="29">
        <f t="shared" si="2"/>
        <v>0</v>
      </c>
      <c r="M28" s="30">
        <f t="shared" si="3"/>
        <v>0.2928713200322165</v>
      </c>
      <c r="N28" s="27">
        <f t="shared" si="4"/>
        <v>50.27868386653077</v>
      </c>
      <c r="O28" s="637"/>
    </row>
    <row r="29" spans="2:18" ht="13.8" thickBot="1" x14ac:dyDescent="0.3">
      <c r="B29" s="637"/>
      <c r="C29" s="8" t="s">
        <v>45</v>
      </c>
      <c r="D29" s="623">
        <f>((D11*D14^3)/12)*D28^2</f>
        <v>33.071128381659385</v>
      </c>
      <c r="E29" s="23"/>
      <c r="F29" s="12" t="s">
        <v>21</v>
      </c>
      <c r="G29" s="402">
        <f>'Initial Boat Data'!AC48</f>
        <v>0</v>
      </c>
      <c r="H29" s="23"/>
      <c r="I29" s="30">
        <v>10</v>
      </c>
      <c r="J29" s="30">
        <f t="shared" si="0"/>
        <v>10</v>
      </c>
      <c r="K29" s="25">
        <f t="shared" si="1"/>
        <v>0.36340462836212889</v>
      </c>
      <c r="L29" s="29">
        <f t="shared" si="2"/>
        <v>0</v>
      </c>
      <c r="M29" s="30">
        <f t="shared" si="3"/>
        <v>0.36340462836212889</v>
      </c>
      <c r="N29" s="27">
        <f t="shared" si="4"/>
        <v>62.387489574068482</v>
      </c>
      <c r="O29" s="637"/>
    </row>
    <row r="30" spans="2:18" x14ac:dyDescent="0.25">
      <c r="B30" s="637"/>
      <c r="C30" s="8" t="s">
        <v>47</v>
      </c>
      <c r="D30" s="623">
        <f>D29/G5</f>
        <v>2.1228998677429742</v>
      </c>
      <c r="E30" s="23"/>
      <c r="F30" s="13" t="s">
        <v>15</v>
      </c>
      <c r="G30" s="627">
        <f>0.5*0.66*((G24*G24*G25)+(G26*G26*G27))*G28</f>
        <v>0</v>
      </c>
      <c r="H30" s="23"/>
      <c r="I30" s="30">
        <v>12</v>
      </c>
      <c r="J30" s="30">
        <f t="shared" si="0"/>
        <v>12</v>
      </c>
      <c r="K30" s="25">
        <f t="shared" si="1"/>
        <v>0.43216746587196653</v>
      </c>
      <c r="L30" s="29">
        <f t="shared" si="2"/>
        <v>0</v>
      </c>
      <c r="M30" s="30">
        <f t="shared" si="3"/>
        <v>0.43216746587196653</v>
      </c>
      <c r="N30" s="27">
        <f t="shared" si="4"/>
        <v>74.19234970356986</v>
      </c>
      <c r="O30" s="637"/>
    </row>
    <row r="31" spans="2:18" ht="13.8" thickBot="1" x14ac:dyDescent="0.3">
      <c r="B31" s="637"/>
      <c r="C31" s="9" t="s">
        <v>48</v>
      </c>
      <c r="D31" s="624">
        <f>-0.35*D25</f>
        <v>-0.24117523082799955</v>
      </c>
      <c r="E31" s="23"/>
      <c r="F31" s="9" t="s">
        <v>22</v>
      </c>
      <c r="G31" s="628">
        <f>G30*G29</f>
        <v>0</v>
      </c>
      <c r="H31" s="23"/>
      <c r="I31" s="30">
        <v>14</v>
      </c>
      <c r="J31" s="30">
        <f t="shared" si="0"/>
        <v>14</v>
      </c>
      <c r="K31" s="25">
        <f t="shared" si="1"/>
        <v>0.49882482692939772</v>
      </c>
      <c r="L31" s="29">
        <f t="shared" si="2"/>
        <v>0</v>
      </c>
      <c r="M31" s="30">
        <f t="shared" si="3"/>
        <v>0.49882482692939772</v>
      </c>
      <c r="N31" s="27">
        <f t="shared" si="4"/>
        <v>85.635752163104357</v>
      </c>
      <c r="O31" s="637"/>
    </row>
    <row r="32" spans="2:18" ht="13.8" thickBot="1" x14ac:dyDescent="0.3">
      <c r="B32" s="637"/>
      <c r="C32" s="23"/>
      <c r="D32" s="23"/>
      <c r="E32" s="23"/>
      <c r="F32" s="23"/>
      <c r="G32" s="23"/>
      <c r="H32" s="23"/>
      <c r="I32" s="632">
        <v>16</v>
      </c>
      <c r="J32" s="632">
        <f t="shared" si="0"/>
        <v>16</v>
      </c>
      <c r="K32" s="633">
        <f t="shared" si="1"/>
        <v>0.56305196357172516</v>
      </c>
      <c r="L32" s="634">
        <f t="shared" si="2"/>
        <v>0</v>
      </c>
      <c r="M32" s="632">
        <f t="shared" si="3"/>
        <v>0.56305196357172516</v>
      </c>
      <c r="N32" s="635">
        <f t="shared" si="4"/>
        <v>96.661945846175925</v>
      </c>
      <c r="O32" s="637"/>
    </row>
    <row r="33" spans="2:18" ht="13.8" thickBot="1" x14ac:dyDescent="0.3">
      <c r="B33" s="637"/>
      <c r="C33" s="613" t="s">
        <v>49</v>
      </c>
      <c r="D33" s="614"/>
      <c r="E33" s="1"/>
      <c r="F33" s="614" t="s">
        <v>16</v>
      </c>
      <c r="G33" s="614"/>
      <c r="H33" s="23"/>
      <c r="I33" s="632">
        <v>18</v>
      </c>
      <c r="J33" s="632">
        <f t="shared" si="0"/>
        <v>18</v>
      </c>
      <c r="K33" s="633">
        <f t="shared" si="1"/>
        <v>0.62453596764531649</v>
      </c>
      <c r="L33" s="634">
        <f t="shared" si="2"/>
        <v>0</v>
      </c>
      <c r="M33" s="632">
        <f t="shared" si="3"/>
        <v>0.62453596764531649</v>
      </c>
      <c r="N33" s="635">
        <f t="shared" si="4"/>
        <v>107.21721224550971</v>
      </c>
      <c r="O33" s="637"/>
    </row>
    <row r="34" spans="2:18" ht="13.8" thickBot="1" x14ac:dyDescent="0.3">
      <c r="B34" s="637"/>
      <c r="C34" s="613"/>
      <c r="D34" s="614"/>
      <c r="E34" s="23"/>
      <c r="F34" s="288" t="s">
        <v>17</v>
      </c>
      <c r="G34" s="400">
        <f>'Initial Boat Data'!AG48</f>
        <v>1</v>
      </c>
      <c r="H34" s="23"/>
      <c r="I34" s="30">
        <v>20</v>
      </c>
      <c r="J34" s="30">
        <f t="shared" si="0"/>
        <v>20</v>
      </c>
      <c r="K34" s="25">
        <f t="shared" si="1"/>
        <v>0.68297729526267592</v>
      </c>
      <c r="L34" s="29">
        <f t="shared" si="2"/>
        <v>0</v>
      </c>
      <c r="M34" s="30">
        <f t="shared" si="3"/>
        <v>0.68297729526267592</v>
      </c>
      <c r="N34" s="27">
        <f t="shared" si="4"/>
        <v>117.25012716421989</v>
      </c>
      <c r="O34" s="637"/>
    </row>
    <row r="35" spans="2:18" x14ac:dyDescent="0.25">
      <c r="B35" s="637"/>
      <c r="C35" s="13" t="s">
        <v>51</v>
      </c>
      <c r="D35" s="14">
        <f>'Initial Boat Data'!M48</f>
        <v>573.20128484764518</v>
      </c>
      <c r="E35" s="23"/>
      <c r="F35" s="289" t="s">
        <v>4</v>
      </c>
      <c r="G35" s="401">
        <f>'Initial Boat Data'!AH48</f>
        <v>1.171065469228981</v>
      </c>
      <c r="H35" s="23"/>
      <c r="I35" s="30">
        <v>22</v>
      </c>
      <c r="J35" s="30">
        <f t="shared" si="0"/>
        <v>22</v>
      </c>
      <c r="K35" s="25">
        <f t="shared" si="1"/>
        <v>0.73809122615015321</v>
      </c>
      <c r="L35" s="29">
        <f t="shared" si="2"/>
        <v>0</v>
      </c>
      <c r="M35" s="30">
        <f t="shared" si="3"/>
        <v>0.73809122615015321</v>
      </c>
      <c r="N35" s="27">
        <f t="shared" si="4"/>
        <v>126.71181124932757</v>
      </c>
      <c r="O35" s="637"/>
    </row>
    <row r="36" spans="2:18" x14ac:dyDescent="0.25">
      <c r="B36" s="637"/>
      <c r="C36" s="8" t="s">
        <v>50</v>
      </c>
      <c r="D36" s="15">
        <f>'Initial Boat Data'!N48</f>
        <v>13.446103985419867</v>
      </c>
      <c r="E36" s="23"/>
      <c r="F36" s="289" t="s">
        <v>5</v>
      </c>
      <c r="G36" s="401">
        <f>'Initial Boat Data'!AI48</f>
        <v>0.12</v>
      </c>
      <c r="H36" s="23"/>
      <c r="I36" s="30">
        <v>24</v>
      </c>
      <c r="J36" s="30">
        <f t="shared" si="0"/>
        <v>24</v>
      </c>
      <c r="K36" s="25">
        <f t="shared" si="1"/>
        <v>0.78960925077649735</v>
      </c>
      <c r="L36" s="29">
        <f t="shared" si="2"/>
        <v>0</v>
      </c>
      <c r="M36" s="30">
        <f t="shared" si="3"/>
        <v>0.78960925077649735</v>
      </c>
      <c r="N36" s="27">
        <f t="shared" si="4"/>
        <v>135.5561681270552</v>
      </c>
      <c r="O36" s="637"/>
    </row>
    <row r="37" spans="2:18" ht="13.8" thickBot="1" x14ac:dyDescent="0.3">
      <c r="B37" s="637"/>
      <c r="C37" s="8" t="s">
        <v>53</v>
      </c>
      <c r="D37" s="403">
        <f>'Initial Boat Data'!O48</f>
        <v>0.55074790217474523</v>
      </c>
      <c r="E37" s="23"/>
      <c r="F37" s="289" t="s">
        <v>6</v>
      </c>
      <c r="G37" s="401">
        <f>'Initial Boat Data'!AJ48</f>
        <v>1.053958922306083</v>
      </c>
      <c r="H37" s="23"/>
      <c r="I37" s="30">
        <v>26</v>
      </c>
      <c r="J37" s="30">
        <f t="shared" si="0"/>
        <v>26</v>
      </c>
      <c r="K37" s="25">
        <f t="shared" si="1"/>
        <v>0.83728037850430315</v>
      </c>
      <c r="L37" s="29">
        <f t="shared" si="2"/>
        <v>0</v>
      </c>
      <c r="M37" s="30">
        <f t="shared" si="3"/>
        <v>0.83728037850430315</v>
      </c>
      <c r="N37" s="27">
        <f t="shared" si="4"/>
        <v>143.74010897972624</v>
      </c>
      <c r="O37" s="637"/>
    </row>
    <row r="38" spans="2:18" x14ac:dyDescent="0.25">
      <c r="B38" s="637"/>
      <c r="C38" s="8" t="s">
        <v>52</v>
      </c>
      <c r="D38" s="625">
        <f>(D5*1000)*(1-D6)-G31-G42-D35</f>
        <v>10139.403876608209</v>
      </c>
      <c r="E38" s="23"/>
      <c r="F38" s="289" t="s">
        <v>7</v>
      </c>
      <c r="G38" s="401">
        <f>'Initial Boat Data'!AK48</f>
        <v>0.1</v>
      </c>
      <c r="H38" s="23"/>
      <c r="I38" s="30">
        <v>28</v>
      </c>
      <c r="J38" s="30">
        <f t="shared" si="0"/>
        <v>28</v>
      </c>
      <c r="K38" s="25">
        <f t="shared" si="1"/>
        <v>0.88087236039116523</v>
      </c>
      <c r="L38" s="29">
        <f t="shared" si="2"/>
        <v>0</v>
      </c>
      <c r="M38" s="30">
        <f t="shared" si="3"/>
        <v>0.88087236039116523</v>
      </c>
      <c r="N38" s="27">
        <f t="shared" si="4"/>
        <v>151.2237624701533</v>
      </c>
      <c r="O38" s="637"/>
    </row>
    <row r="39" spans="2:18" ht="13.8" thickBot="1" x14ac:dyDescent="0.3">
      <c r="B39" s="637"/>
      <c r="C39" s="8" t="s">
        <v>74</v>
      </c>
      <c r="D39" s="623">
        <f>(((G11*G11*G12)*G13/((G11*G11*G12)+(G9*G9*G10)))+D25)*-1</f>
        <v>-1.5972679698303842</v>
      </c>
      <c r="E39" s="23"/>
      <c r="F39" s="289" t="s">
        <v>8</v>
      </c>
      <c r="G39" s="401">
        <f>'Initial Boat Data'!AL48</f>
        <v>2.0025219523815574</v>
      </c>
      <c r="H39" s="23"/>
      <c r="I39" s="31">
        <v>30</v>
      </c>
      <c r="J39" s="31">
        <f t="shared" si="0"/>
        <v>30</v>
      </c>
      <c r="K39" s="26">
        <f t="shared" si="1"/>
        <v>0.92017282068318118</v>
      </c>
      <c r="L39" s="39">
        <f t="shared" si="2"/>
        <v>0</v>
      </c>
      <c r="M39" s="31">
        <f t="shared" si="3"/>
        <v>0.92017282068318118</v>
      </c>
      <c r="N39" s="28">
        <f t="shared" si="4"/>
        <v>157.97066899078513</v>
      </c>
      <c r="O39" s="644"/>
      <c r="P39" s="3"/>
      <c r="Q39" s="1"/>
      <c r="R39" s="1"/>
    </row>
    <row r="40" spans="2:18" ht="13.8" thickBot="1" x14ac:dyDescent="0.3">
      <c r="B40" s="637"/>
      <c r="C40" s="8" t="s">
        <v>75</v>
      </c>
      <c r="D40" s="623">
        <f>-(G13+D25)</f>
        <v>-2.9427433502013254</v>
      </c>
      <c r="E40" s="23"/>
      <c r="F40" s="289" t="s">
        <v>23</v>
      </c>
      <c r="G40" s="399">
        <f>'Initial Boat Data'!AM48</f>
        <v>2400</v>
      </c>
      <c r="H40" s="23"/>
      <c r="O40" s="645"/>
      <c r="P40" s="6"/>
      <c r="Q40" s="1"/>
      <c r="R40" s="1"/>
    </row>
    <row r="41" spans="2:18" x14ac:dyDescent="0.25">
      <c r="B41" s="637"/>
      <c r="C41" s="8" t="s">
        <v>57</v>
      </c>
      <c r="D41" s="623">
        <v>0</v>
      </c>
      <c r="E41" s="23"/>
      <c r="F41" s="396" t="s">
        <v>24</v>
      </c>
      <c r="G41" s="627">
        <f>G34*0.5*((G35*G35*G36)+(G37*G37*G38))*G39</f>
        <v>0.27599784939339356</v>
      </c>
      <c r="H41" s="23"/>
      <c r="L41" s="35" t="s">
        <v>68</v>
      </c>
      <c r="N41" s="52" t="s">
        <v>69</v>
      </c>
      <c r="O41" s="646"/>
      <c r="P41" s="2"/>
      <c r="Q41" s="1"/>
      <c r="R41" s="1"/>
    </row>
    <row r="42" spans="2:18" ht="15" customHeight="1" thickBot="1" x14ac:dyDescent="0.3">
      <c r="B42" s="637"/>
      <c r="C42" s="12" t="s">
        <v>56</v>
      </c>
      <c r="D42" s="626">
        <f>-((G37*G37*G38*G39)/((G37*G37*G38)+(G35*G35*G36)))</f>
        <v>-0.8069864584224189</v>
      </c>
      <c r="E42" s="23"/>
      <c r="F42" s="290" t="s">
        <v>25</v>
      </c>
      <c r="G42" s="629">
        <f>G41*G40</f>
        <v>662.39483854414459</v>
      </c>
      <c r="H42" s="23"/>
      <c r="I42" s="24"/>
      <c r="J42" s="24"/>
      <c r="K42" s="24"/>
      <c r="L42" s="48">
        <f>LINEST(N24:N37,I24:I37^{1})</f>
        <v>5.5889424534694756</v>
      </c>
      <c r="M42" s="24"/>
      <c r="N42" s="53">
        <f>INTERCEPT(N24:N37,I24:I37^{1})</f>
        <v>4.1771174509511724</v>
      </c>
      <c r="O42" s="647"/>
      <c r="P42" s="3"/>
      <c r="Q42" s="1"/>
      <c r="R42" s="1"/>
    </row>
    <row r="43" spans="2:18" ht="13.8" thickBot="1" x14ac:dyDescent="0.3">
      <c r="B43" s="638"/>
      <c r="C43" s="639"/>
      <c r="D43" s="640"/>
      <c r="E43" s="641"/>
      <c r="F43" s="641"/>
      <c r="G43" s="641"/>
      <c r="H43" s="641"/>
      <c r="I43" s="641"/>
      <c r="J43" s="641"/>
      <c r="K43" s="641"/>
      <c r="L43" s="641"/>
      <c r="M43" s="641"/>
      <c r="N43" s="641"/>
      <c r="O43" s="642"/>
      <c r="P43" s="6"/>
      <c r="Q43" s="1"/>
      <c r="R43" s="1"/>
    </row>
    <row r="44" spans="2:18" x14ac:dyDescent="0.25">
      <c r="B44" s="22"/>
      <c r="C44" s="1"/>
      <c r="D44" s="1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1"/>
      <c r="P44" s="1"/>
      <c r="Q44" s="1"/>
      <c r="R44" s="1"/>
    </row>
    <row r="45" spans="2:18" x14ac:dyDescent="0.25">
      <c r="B45" s="23"/>
      <c r="C45" s="1"/>
      <c r="D45" s="1"/>
      <c r="E45" s="23"/>
      <c r="F45" s="23"/>
      <c r="G45" s="23"/>
      <c r="H45" s="23"/>
      <c r="I45" s="23"/>
      <c r="O45" s="1"/>
      <c r="P45" s="1"/>
      <c r="Q45" s="1"/>
      <c r="R45" s="1"/>
    </row>
    <row r="46" spans="2:18" x14ac:dyDescent="0.25">
      <c r="B46" s="23"/>
      <c r="C46" s="1"/>
      <c r="D46" s="1"/>
      <c r="E46" s="23"/>
      <c r="H46" s="23"/>
      <c r="I46" s="23"/>
      <c r="O46" s="1"/>
      <c r="P46" s="1"/>
      <c r="Q46" s="1"/>
      <c r="R46" s="1"/>
    </row>
    <row r="47" spans="2:18" x14ac:dyDescent="0.25">
      <c r="B47" s="23"/>
      <c r="C47" s="23"/>
      <c r="D47" s="23"/>
      <c r="E47" s="23"/>
      <c r="H47" s="23"/>
      <c r="I47" s="23"/>
    </row>
    <row r="48" spans="2:18" x14ac:dyDescent="0.25">
      <c r="B48" s="23"/>
      <c r="C48" s="23"/>
      <c r="D48" s="23"/>
      <c r="E48" s="23"/>
      <c r="H48" s="23"/>
      <c r="I48" s="23"/>
    </row>
    <row r="49" spans="9:10" x14ac:dyDescent="0.25">
      <c r="I49" s="23"/>
    </row>
    <row r="50" spans="9:10" x14ac:dyDescent="0.25">
      <c r="I50" s="23"/>
      <c r="J50" s="23"/>
    </row>
  </sheetData>
  <sheetProtection selectLockedCells="1"/>
  <mergeCells count="9">
    <mergeCell ref="M18:N18"/>
    <mergeCell ref="C2:N2"/>
    <mergeCell ref="M14:N14"/>
    <mergeCell ref="M15:N15"/>
    <mergeCell ref="M17:N17"/>
    <mergeCell ref="L5:L7"/>
    <mergeCell ref="M5:M7"/>
    <mergeCell ref="L9:M10"/>
    <mergeCell ref="L11:M12"/>
  </mergeCells>
  <phoneticPr fontId="3" type="noConversion"/>
  <pageMargins left="0.74803149606299213" right="0.74803149606299213" top="0.98425196850393704" bottom="0.98425196850393704" header="0.51181102362204722" footer="0.51181102362204722"/>
  <pageSetup paperSize="9" scale="57" orientation="landscape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V53"/>
  <sheetViews>
    <sheetView topLeftCell="A16" zoomScale="85" zoomScaleNormal="85" workbookViewId="0">
      <selection activeCell="K40" sqref="K40"/>
    </sheetView>
  </sheetViews>
  <sheetFormatPr defaultColWidth="9.109375" defaultRowHeight="13.2" x14ac:dyDescent="0.25"/>
  <cols>
    <col min="1" max="1" width="7.5546875" style="61" customWidth="1"/>
    <col min="2" max="2" width="33" style="61" customWidth="1"/>
    <col min="3" max="3" width="12.33203125" style="61" customWidth="1"/>
    <col min="4" max="4" width="4" style="61" customWidth="1"/>
    <col min="5" max="5" width="12.33203125" style="61" customWidth="1"/>
    <col min="6" max="6" width="9.109375" style="61"/>
    <col min="7" max="7" width="30.6640625" style="61" customWidth="1"/>
    <col min="8" max="8" width="12.6640625" style="61" customWidth="1"/>
    <col min="9" max="9" width="11" style="61" customWidth="1"/>
    <col min="10" max="10" width="12" style="61" customWidth="1"/>
    <col min="11" max="11" width="11" style="61" customWidth="1"/>
    <col min="12" max="13" width="11.5546875" style="61" customWidth="1"/>
    <col min="14" max="14" width="11" style="61" customWidth="1"/>
    <col min="15" max="15" width="15.6640625" style="148" customWidth="1"/>
    <col min="16" max="16" width="20.33203125" style="148" customWidth="1"/>
    <col min="17" max="17" width="10.88671875" style="61" customWidth="1"/>
    <col min="18" max="18" width="10.6640625" style="61" customWidth="1"/>
    <col min="19" max="16384" width="9.109375" style="61"/>
  </cols>
  <sheetData>
    <row r="1" spans="2:22" ht="13.8" thickBot="1" x14ac:dyDescent="0.3"/>
    <row r="2" spans="2:22" ht="23.25" customHeight="1" thickBot="1" x14ac:dyDescent="0.3">
      <c r="B2" s="908" t="s">
        <v>135</v>
      </c>
      <c r="C2" s="909"/>
      <c r="D2" s="909"/>
      <c r="E2" s="910"/>
      <c r="G2" s="920" t="s">
        <v>84</v>
      </c>
      <c r="H2" s="921"/>
      <c r="I2" s="921"/>
      <c r="J2" s="921"/>
      <c r="K2" s="921"/>
      <c r="L2" s="921"/>
      <c r="M2" s="921"/>
      <c r="N2" s="921"/>
      <c r="O2" s="921"/>
      <c r="P2" s="922"/>
    </row>
    <row r="3" spans="2:22" ht="24" customHeight="1" thickBot="1" x14ac:dyDescent="0.3">
      <c r="B3" s="923" t="s">
        <v>86</v>
      </c>
      <c r="C3" s="927"/>
      <c r="D3" s="927"/>
      <c r="E3" s="928"/>
    </row>
    <row r="4" spans="2:22" ht="20.25" customHeight="1" thickBot="1" x14ac:dyDescent="0.3">
      <c r="B4" s="465" t="s">
        <v>313</v>
      </c>
      <c r="C4" s="418">
        <v>16</v>
      </c>
      <c r="D4" s="466"/>
      <c r="E4" s="467">
        <f>C4</f>
        <v>16</v>
      </c>
      <c r="G4" s="923" t="s">
        <v>85</v>
      </c>
      <c r="H4" s="924"/>
      <c r="I4" s="924"/>
      <c r="J4" s="924"/>
      <c r="K4" s="924"/>
      <c r="L4" s="924"/>
      <c r="M4" s="924"/>
      <c r="N4" s="925"/>
      <c r="O4" s="937" t="s">
        <v>347</v>
      </c>
      <c r="P4" s="940" t="str">
        <f>'Initial Boat Data'!D5</f>
        <v>c</v>
      </c>
    </row>
    <row r="5" spans="2:22" ht="20.25" customHeight="1" thickBot="1" x14ac:dyDescent="0.3">
      <c r="B5" s="465" t="s">
        <v>362</v>
      </c>
      <c r="C5" s="419">
        <v>1.23</v>
      </c>
      <c r="D5" s="468"/>
      <c r="E5" s="467">
        <f>C5</f>
        <v>1.23</v>
      </c>
      <c r="G5" s="469"/>
      <c r="H5" s="469"/>
      <c r="I5" s="469"/>
      <c r="J5" s="906" t="s">
        <v>368</v>
      </c>
      <c r="K5" s="469"/>
      <c r="L5" s="469"/>
      <c r="M5" s="469"/>
      <c r="N5" s="469"/>
      <c r="O5" s="938"/>
      <c r="P5" s="941"/>
    </row>
    <row r="6" spans="2:22" ht="20.25" customHeight="1" thickBot="1" x14ac:dyDescent="0.3">
      <c r="B6" s="470" t="s">
        <v>100</v>
      </c>
      <c r="C6" s="420">
        <v>1.2</v>
      </c>
      <c r="D6" s="468"/>
      <c r="E6" s="471">
        <f>C6</f>
        <v>1.2</v>
      </c>
      <c r="G6" s="571" t="s">
        <v>87</v>
      </c>
      <c r="H6" s="570"/>
      <c r="I6" s="145"/>
      <c r="J6" s="907"/>
      <c r="K6" s="145"/>
      <c r="L6" s="145"/>
      <c r="M6" s="145"/>
      <c r="N6" s="145"/>
      <c r="O6" s="939"/>
      <c r="P6" s="942"/>
    </row>
    <row r="7" spans="2:22" ht="26.25" customHeight="1" thickBot="1" x14ac:dyDescent="0.3">
      <c r="B7" s="930" t="str">
        <f>'Initial Rig Data'!B38</f>
        <v>Rig 6</v>
      </c>
      <c r="C7" s="931"/>
      <c r="D7" s="931"/>
      <c r="E7" s="932"/>
      <c r="G7" s="598" t="s">
        <v>97</v>
      </c>
      <c r="H7" s="604">
        <v>35</v>
      </c>
      <c r="I7" s="600">
        <v>40</v>
      </c>
      <c r="J7" s="596">
        <v>45</v>
      </c>
      <c r="K7" s="596">
        <v>50</v>
      </c>
      <c r="L7" s="596">
        <v>65</v>
      </c>
      <c r="M7" s="596">
        <v>80</v>
      </c>
      <c r="N7" s="596">
        <v>100</v>
      </c>
      <c r="O7" s="597">
        <v>120</v>
      </c>
      <c r="P7" s="567"/>
    </row>
    <row r="8" spans="2:22" ht="20.25" customHeight="1" thickBot="1" x14ac:dyDescent="0.3">
      <c r="B8" s="576"/>
      <c r="C8" s="578" t="s">
        <v>139</v>
      </c>
      <c r="D8" s="473"/>
      <c r="E8" s="474" t="s">
        <v>138</v>
      </c>
      <c r="G8" s="579" t="s">
        <v>90</v>
      </c>
      <c r="H8" s="477">
        <f>'Speed &amp; Leeway Predictor'!E239</f>
        <v>1</v>
      </c>
      <c r="I8" s="601">
        <f>'Speed &amp; Leeway Predictor'!E256</f>
        <v>1</v>
      </c>
      <c r="J8" s="476">
        <f>'Speed &amp; Leeway Predictor'!E273</f>
        <v>1</v>
      </c>
      <c r="K8" s="475">
        <f>'Speed &amp; Leeway Predictor'!E290</f>
        <v>0</v>
      </c>
      <c r="L8" s="475">
        <f>'Speed &amp; Leeway Predictor'!E306</f>
        <v>0</v>
      </c>
      <c r="M8" s="475">
        <f>'Speed &amp; Leeway Predictor'!E322</f>
        <v>0</v>
      </c>
      <c r="N8" s="475">
        <f>'Speed &amp; Leeway Predictor'!E339</f>
        <v>0</v>
      </c>
      <c r="O8" s="477">
        <f>'Speed &amp; Leeway Predictor'!E355</f>
        <v>0</v>
      </c>
      <c r="P8" s="567"/>
    </row>
    <row r="9" spans="2:22" ht="24.75" customHeight="1" x14ac:dyDescent="0.25">
      <c r="B9" s="577" t="s">
        <v>88</v>
      </c>
      <c r="C9" s="522">
        <f>'Initial Rig Data'!C38</f>
        <v>21.381717134266243</v>
      </c>
      <c r="D9" s="480"/>
      <c r="E9" s="479">
        <f>C9</f>
        <v>21.381717134266243</v>
      </c>
      <c r="F9" s="182"/>
      <c r="G9" s="580" t="s">
        <v>92</v>
      </c>
      <c r="H9" s="483">
        <f>'Speed &amp; Leeway Predictor'!E243</f>
        <v>0.6</v>
      </c>
      <c r="I9" s="602">
        <f>'Speed &amp; Leeway Predictor'!E260</f>
        <v>0.5</v>
      </c>
      <c r="J9" s="482">
        <f>'Speed &amp; Leeway Predictor'!E277</f>
        <v>0.6</v>
      </c>
      <c r="K9" s="481">
        <f>'Speed &amp; Leeway Predictor'!E294</f>
        <v>0</v>
      </c>
      <c r="L9" s="481">
        <f>'Speed &amp; Leeway Predictor'!E310</f>
        <v>0</v>
      </c>
      <c r="M9" s="481">
        <f>'Speed &amp; Leeway Predictor'!E326</f>
        <v>0</v>
      </c>
      <c r="N9" s="481">
        <f>'Speed &amp; Leeway Predictor'!E343</f>
        <v>0</v>
      </c>
      <c r="O9" s="483">
        <f>'Speed &amp; Leeway Predictor'!E359</f>
        <v>0</v>
      </c>
      <c r="P9" s="567"/>
    </row>
    <row r="10" spans="2:22" ht="26.25" customHeight="1" x14ac:dyDescent="0.25">
      <c r="B10" s="491" t="s">
        <v>89</v>
      </c>
      <c r="C10" s="531">
        <f>'Initial Rig Data'!D38</f>
        <v>6.6552364590100233</v>
      </c>
      <c r="D10" s="480"/>
      <c r="E10" s="480">
        <f>C10</f>
        <v>6.6552364590100233</v>
      </c>
      <c r="F10" s="182"/>
      <c r="G10" s="580" t="s">
        <v>99</v>
      </c>
      <c r="H10" s="605">
        <f>C4</f>
        <v>16</v>
      </c>
      <c r="I10" s="602">
        <f t="shared" ref="I10:O10" si="0">H10</f>
        <v>16</v>
      </c>
      <c r="J10" s="482">
        <f t="shared" si="0"/>
        <v>16</v>
      </c>
      <c r="K10" s="481">
        <f t="shared" si="0"/>
        <v>16</v>
      </c>
      <c r="L10" s="481">
        <f t="shared" si="0"/>
        <v>16</v>
      </c>
      <c r="M10" s="481">
        <f t="shared" si="0"/>
        <v>16</v>
      </c>
      <c r="N10" s="481">
        <f t="shared" si="0"/>
        <v>16</v>
      </c>
      <c r="O10" s="483">
        <f t="shared" si="0"/>
        <v>16</v>
      </c>
      <c r="P10" s="567"/>
    </row>
    <row r="11" spans="2:22" ht="17.100000000000001" customHeight="1" thickBot="1" x14ac:dyDescent="0.3">
      <c r="B11" s="535" t="s">
        <v>91</v>
      </c>
      <c r="C11" s="485">
        <f>'Initial Rig Data'!E38</f>
        <v>2</v>
      </c>
      <c r="D11" s="487"/>
      <c r="E11" s="486">
        <f>C11</f>
        <v>2</v>
      </c>
      <c r="F11" s="182"/>
      <c r="G11" s="599" t="s">
        <v>374</v>
      </c>
      <c r="H11" s="490">
        <f>'Speed &amp; Leeway Predictor'!E233</f>
        <v>0.31</v>
      </c>
      <c r="I11" s="603">
        <f>'Speed &amp; Leeway Predictor'!E250</f>
        <v>0.32</v>
      </c>
      <c r="J11" s="489">
        <f>'Speed &amp; Leeway Predictor'!E267</f>
        <v>0.34</v>
      </c>
      <c r="K11" s="488">
        <f>'Speed &amp; Leeway Predictor'!E284</f>
        <v>0</v>
      </c>
      <c r="L11" s="488">
        <f>'Speed &amp; Leeway Predictor'!E300</f>
        <v>0</v>
      </c>
      <c r="M11" s="488">
        <f>'Speed &amp; Leeway Predictor'!E316</f>
        <v>0</v>
      </c>
      <c r="N11" s="488">
        <f>'Speed &amp; Leeway Predictor'!E333</f>
        <v>0</v>
      </c>
      <c r="O11" s="490">
        <f>'Speed &amp; Leeway Predictor'!E349</f>
        <v>0</v>
      </c>
      <c r="P11" s="567"/>
    </row>
    <row r="12" spans="2:22" ht="17.100000000000001" customHeight="1" thickBot="1" x14ac:dyDescent="0.3">
      <c r="B12" s="491" t="s">
        <v>93</v>
      </c>
      <c r="C12" s="531">
        <f>C9*C10*1.15/2</f>
        <v>81.822720471219611</v>
      </c>
      <c r="D12" s="480"/>
      <c r="E12" s="480">
        <f>C12</f>
        <v>81.822720471219611</v>
      </c>
      <c r="F12" s="926"/>
      <c r="G12" s="492"/>
      <c r="H12" s="492"/>
      <c r="I12" s="492"/>
      <c r="J12" s="492"/>
      <c r="K12" s="492"/>
      <c r="L12" s="492"/>
      <c r="M12" s="492"/>
      <c r="N12" s="492"/>
      <c r="O12" s="492"/>
      <c r="P12" s="140"/>
    </row>
    <row r="13" spans="2:22" ht="17.100000000000001" customHeight="1" thickBot="1" x14ac:dyDescent="0.3">
      <c r="B13" s="491" t="s">
        <v>94</v>
      </c>
      <c r="C13" s="531">
        <f>(0.39*C9)+C11</f>
        <v>10.338869682363836</v>
      </c>
      <c r="D13" s="480"/>
      <c r="E13" s="480">
        <f>(0.39*E9)+E11</f>
        <v>10.338869682363836</v>
      </c>
      <c r="F13" s="926"/>
      <c r="G13" s="492"/>
      <c r="H13" s="933" t="s">
        <v>369</v>
      </c>
      <c r="I13" s="934"/>
      <c r="J13" s="934"/>
      <c r="K13" s="934"/>
      <c r="L13" s="935"/>
      <c r="M13" s="936" t="s">
        <v>370</v>
      </c>
      <c r="N13" s="934"/>
      <c r="O13" s="935"/>
      <c r="P13" s="143"/>
    </row>
    <row r="14" spans="2:22" ht="17.100000000000001" customHeight="1" thickBot="1" x14ac:dyDescent="0.3">
      <c r="B14" s="577" t="s">
        <v>304</v>
      </c>
      <c r="C14" s="493">
        <v>1.5</v>
      </c>
      <c r="D14" s="494"/>
      <c r="E14" s="495">
        <v>1.35</v>
      </c>
      <c r="F14" s="496"/>
      <c r="G14" s="497" t="str">
        <f>B28</f>
        <v>Total Upwind Area</v>
      </c>
      <c r="H14" s="497">
        <f t="shared" ref="H14:O14" si="1">$C$28</f>
        <v>163.64544094243922</v>
      </c>
      <c r="I14" s="498">
        <f t="shared" si="1"/>
        <v>163.64544094243922</v>
      </c>
      <c r="J14" s="499">
        <f t="shared" si="1"/>
        <v>163.64544094243922</v>
      </c>
      <c r="K14" s="498">
        <f t="shared" si="1"/>
        <v>163.64544094243922</v>
      </c>
      <c r="L14" s="498">
        <f t="shared" si="1"/>
        <v>163.64544094243922</v>
      </c>
      <c r="M14" s="498">
        <f t="shared" si="1"/>
        <v>163.64544094243922</v>
      </c>
      <c r="N14" s="498">
        <f t="shared" si="1"/>
        <v>163.64544094243922</v>
      </c>
      <c r="O14" s="498">
        <f t="shared" si="1"/>
        <v>163.64544094243922</v>
      </c>
      <c r="P14" s="568"/>
    </row>
    <row r="15" spans="2:22" ht="17.100000000000001" customHeight="1" thickBot="1" x14ac:dyDescent="0.3">
      <c r="B15" s="535" t="s">
        <v>305</v>
      </c>
      <c r="C15" s="472">
        <v>0.05</v>
      </c>
      <c r="D15" s="494"/>
      <c r="E15" s="500">
        <v>0.15</v>
      </c>
      <c r="F15" s="496"/>
      <c r="G15" s="497" t="str">
        <f>B29</f>
        <v>Combined Lift Cl</v>
      </c>
      <c r="H15" s="497">
        <f>$C$29*H9</f>
        <v>0.8999999999999998</v>
      </c>
      <c r="I15" s="498">
        <f>$C$29*I9</f>
        <v>0.74999999999999989</v>
      </c>
      <c r="J15" s="499">
        <f>$C$29*J9</f>
        <v>0.8999999999999998</v>
      </c>
      <c r="K15" s="498">
        <f>$C$29*K9</f>
        <v>0</v>
      </c>
      <c r="L15" s="498">
        <f>$C$29*L9</f>
        <v>0</v>
      </c>
      <c r="M15" s="498">
        <f>$E$29*M9</f>
        <v>0</v>
      </c>
      <c r="N15" s="498">
        <f>$E$29*N9</f>
        <v>0</v>
      </c>
      <c r="O15" s="498">
        <f>$E$29*O9</f>
        <v>0</v>
      </c>
      <c r="P15" s="568"/>
      <c r="S15" s="140"/>
      <c r="T15" s="140"/>
      <c r="U15" s="140"/>
      <c r="V15" s="140"/>
    </row>
    <row r="16" spans="2:22" ht="17.100000000000001" customHeight="1" thickBot="1" x14ac:dyDescent="0.3">
      <c r="B16" s="501"/>
      <c r="C16" s="502"/>
      <c r="D16" s="503"/>
      <c r="E16" s="502"/>
      <c r="F16" s="496"/>
      <c r="G16" s="504" t="s">
        <v>140</v>
      </c>
      <c r="H16" s="505">
        <f>$C$29^2*((1/(PI()*$C$33))+0.005)*H9^2</f>
        <v>6.1757100379617763E-2</v>
      </c>
      <c r="I16" s="505">
        <f>$C$29^2*((1/(PI()*$C$33))+0.005)*I9^2</f>
        <v>4.2886875263623447E-2</v>
      </c>
      <c r="J16" s="506">
        <f>$C$29^2*((1/(PI()*$C$33))+0.005)*J9^2</f>
        <v>6.1757100379617763E-2</v>
      </c>
      <c r="K16" s="505">
        <f>$C$29^2*((1/(PI()*$C$33))+0.005)*K9^2</f>
        <v>0</v>
      </c>
      <c r="L16" s="505">
        <f>$C$29^2*((1/(PI()*$C$33))+0.005)*L9^2</f>
        <v>0</v>
      </c>
      <c r="M16" s="507">
        <f>$E$29^2*((1/(PI()*$E$33))+0.005)*M9^2</f>
        <v>0</v>
      </c>
      <c r="N16" s="507">
        <f>$E$29^2*((1/(PI()*$E$33))+0.005)*N9^2</f>
        <v>0</v>
      </c>
      <c r="O16" s="507">
        <f>$E$29^2*((1/(PI()*$E$33))+0.005)*O9^2</f>
        <v>0</v>
      </c>
      <c r="P16" s="256"/>
      <c r="S16" s="145"/>
      <c r="T16" s="145"/>
      <c r="U16" s="140"/>
      <c r="V16" s="140"/>
    </row>
    <row r="17" spans="2:22" ht="17.100000000000001" customHeight="1" thickBot="1" x14ac:dyDescent="0.3">
      <c r="B17" s="579" t="s">
        <v>106</v>
      </c>
      <c r="C17" s="582">
        <f>'Initial Rig Data'!F38</f>
        <v>23.804221597474712</v>
      </c>
      <c r="D17" s="494"/>
      <c r="E17" s="508">
        <f>C17</f>
        <v>23.804221597474712</v>
      </c>
      <c r="F17" s="140"/>
      <c r="G17" s="504" t="s">
        <v>124</v>
      </c>
      <c r="H17" s="505">
        <f>1.13*(($C$32*$C$6)+(($C$31-(H8*$C$9))*$C$26))/$C$28</f>
        <v>3.8116552249041979E-2</v>
      </c>
      <c r="I17" s="505">
        <f>1.13*(($C$32*$C$6)+(($C$31-(I8*$C$9))*$C$26))/$C$28</f>
        <v>3.8116552249041979E-2</v>
      </c>
      <c r="J17" s="506">
        <f>1.13*(($C$32*$C$6)+(($C$31-(J8*$C$9))*$C$26))/$C$28</f>
        <v>3.8116552249041979E-2</v>
      </c>
      <c r="K17" s="505">
        <f>1.13*(($C$32*$C$6)+(($C$31-(K8*$C$9))*$C$26))/$C$28</f>
        <v>3.8116552249041979E-2</v>
      </c>
      <c r="L17" s="505">
        <f>1.13*(($C$32*$C$6)+(($C$31-(L8*$C$9))*$C$26))/$C$28</f>
        <v>3.8116552249041979E-2</v>
      </c>
      <c r="M17" s="507">
        <f>1.13*(($E$32*$E$6)+(($E$31-(M8*$E$9))*$E$26))/$E$28</f>
        <v>3.8116552249041979E-2</v>
      </c>
      <c r="N17" s="507">
        <f>1.13*(($E$32*$E$6)+(($E$31-(N8*$E$9))*$E$26))/$E$28</f>
        <v>3.8116552249041979E-2</v>
      </c>
      <c r="O17" s="507">
        <f>1.13*(($E$32*$E$6)+(($E$31-(O8*$E$9))*$E$26))/$E$28</f>
        <v>3.8116552249041979E-2</v>
      </c>
      <c r="P17" s="256"/>
      <c r="S17" s="140"/>
      <c r="T17" s="140"/>
      <c r="U17" s="140"/>
      <c r="V17" s="140"/>
    </row>
    <row r="18" spans="2:22" ht="17.100000000000001" customHeight="1" thickBot="1" x14ac:dyDescent="0.3">
      <c r="B18" s="580" t="s">
        <v>108</v>
      </c>
      <c r="C18" s="583">
        <f>'Initial Rig Data'!G38</f>
        <v>6.0566954360438618</v>
      </c>
      <c r="D18" s="494"/>
      <c r="E18" s="509">
        <f>C18</f>
        <v>6.0566954360438618</v>
      </c>
      <c r="F18" s="140"/>
      <c r="G18" s="510" t="str">
        <f>B39</f>
        <v>Total Drag Coefficient</v>
      </c>
      <c r="H18" s="510">
        <f>$C$39+H16+H17</f>
        <v>0.14987365262865973</v>
      </c>
      <c r="I18" s="510">
        <f>$C$39+I16+I17</f>
        <v>0.13100342751266542</v>
      </c>
      <c r="J18" s="511">
        <f>$C$39+J16+J17</f>
        <v>0.14987365262865973</v>
      </c>
      <c r="K18" s="510">
        <f>$C$39+K16+K17</f>
        <v>8.8116552249041968E-2</v>
      </c>
      <c r="L18" s="510">
        <f>$C$39+L16+L17</f>
        <v>8.8116552249041968E-2</v>
      </c>
      <c r="M18" s="512">
        <f>$E$39</f>
        <v>0.19999999999999998</v>
      </c>
      <c r="N18" s="512">
        <f>$E$39</f>
        <v>0.19999999999999998</v>
      </c>
      <c r="O18" s="512">
        <f>$E$39</f>
        <v>0.19999999999999998</v>
      </c>
      <c r="P18" s="568"/>
      <c r="S18" s="140"/>
      <c r="T18" s="140"/>
      <c r="U18" s="140"/>
      <c r="V18" s="140"/>
    </row>
    <row r="19" spans="2:22" ht="17.100000000000001" customHeight="1" thickBot="1" x14ac:dyDescent="0.3">
      <c r="B19" s="581" t="s">
        <v>110</v>
      </c>
      <c r="C19" s="584">
        <f>'Initial Rig Data'!H38</f>
        <v>6.6623649796482489</v>
      </c>
      <c r="D19" s="494"/>
      <c r="E19" s="513">
        <f>C19</f>
        <v>6.6623649796482489</v>
      </c>
      <c r="F19" s="140"/>
      <c r="G19" s="514" t="s">
        <v>101</v>
      </c>
      <c r="H19" s="515">
        <f>(H11*SQRT(9.81*'Hull RM''s'!$D$11))/0.5144</f>
        <v>7.2492194625824071</v>
      </c>
      <c r="I19" s="516">
        <f>(I11*SQRT(9.81*'Hull RM''s'!$D$11))/0.5144</f>
        <v>7.4830652516979699</v>
      </c>
      <c r="J19" s="517">
        <f>(J11*SQRT(9.81*'Hull RM''s'!$D$11))/0.5144</f>
        <v>7.9507568299290927</v>
      </c>
      <c r="K19" s="516">
        <f>(K11*SQRT(9.81*'Hull RM''s'!$D$11))/0.5144</f>
        <v>0</v>
      </c>
      <c r="L19" s="516">
        <f>(L11*SQRT(9.81*'Hull RM''s'!$D$11))/0.5144</f>
        <v>0</v>
      </c>
      <c r="M19" s="516">
        <f>(M11*SQRT(9.81*'Hull RM''s'!$D$11))/0.5144</f>
        <v>0</v>
      </c>
      <c r="N19" s="516">
        <f>(N11*SQRT(9.81*'Hull RM''s'!$D$11))/0.5144</f>
        <v>0</v>
      </c>
      <c r="O19" s="516">
        <f>(O11*SQRT(9.81*'Hull RM''s'!$D$11))/0.5144</f>
        <v>0</v>
      </c>
      <c r="P19" s="568"/>
      <c r="S19" s="140"/>
      <c r="T19" s="140"/>
      <c r="U19" s="140"/>
      <c r="V19" s="140"/>
    </row>
    <row r="20" spans="2:22" ht="17.100000000000001" customHeight="1" thickBot="1" x14ac:dyDescent="0.3">
      <c r="B20" s="518"/>
      <c r="C20" s="518"/>
      <c r="D20" s="503"/>
      <c r="E20" s="518"/>
      <c r="F20" s="496"/>
      <c r="G20" s="514" t="s">
        <v>103</v>
      </c>
      <c r="H20" s="519">
        <f>SQRT(C4^2+H19^2-(2*C4*H19*COS((180-H7)*PI()/180)))</f>
        <v>22.328770610345952</v>
      </c>
      <c r="I20" s="520">
        <f t="shared" ref="I20:O20" si="2">SQRT(I10^2+I19^2-(2*I10*I19*COS((180-I7)*PI()/180)))</f>
        <v>22.25829740288075</v>
      </c>
      <c r="J20" s="521">
        <f t="shared" si="2"/>
        <v>22.340985305239425</v>
      </c>
      <c r="K20" s="520">
        <f t="shared" si="2"/>
        <v>16</v>
      </c>
      <c r="L20" s="520">
        <f t="shared" si="2"/>
        <v>16</v>
      </c>
      <c r="M20" s="520">
        <f t="shared" si="2"/>
        <v>16</v>
      </c>
      <c r="N20" s="520">
        <f t="shared" si="2"/>
        <v>16</v>
      </c>
      <c r="O20" s="520">
        <f t="shared" si="2"/>
        <v>16</v>
      </c>
      <c r="P20" s="568"/>
    </row>
    <row r="21" spans="2:22" ht="17.100000000000001" customHeight="1" thickBot="1" x14ac:dyDescent="0.3">
      <c r="B21" s="478" t="s">
        <v>112</v>
      </c>
      <c r="C21" s="522">
        <f>SQRT(C17^2+C18^2)*0.5*C19</f>
        <v>81.822720471219597</v>
      </c>
      <c r="D21" s="494"/>
      <c r="E21" s="522">
        <f>SQRT(E17^2+E18^2)*0.5*E19</f>
        <v>81.822720471219597</v>
      </c>
      <c r="F21" s="496"/>
      <c r="G21" s="523" t="s">
        <v>104</v>
      </c>
      <c r="H21" s="523">
        <f>ASIN((C4/H20)*SIN((180-H7)*PI()/180))*180/PI()</f>
        <v>24.267945308302469</v>
      </c>
      <c r="I21" s="524">
        <f t="shared" ref="I21:O21" si="3">ASIN((I10/I20)*SIN((180-I7)*PI()/180))*180/PI()</f>
        <v>27.519920739757541</v>
      </c>
      <c r="J21" s="525">
        <f t="shared" si="3"/>
        <v>30.425026241402566</v>
      </c>
      <c r="K21" s="524">
        <f t="shared" si="3"/>
        <v>49.999999999999993</v>
      </c>
      <c r="L21" s="524">
        <f t="shared" si="3"/>
        <v>65.000000000000014</v>
      </c>
      <c r="M21" s="524">
        <f t="shared" si="3"/>
        <v>79.999999999999986</v>
      </c>
      <c r="N21" s="524">
        <f t="shared" si="3"/>
        <v>79.999999999999986</v>
      </c>
      <c r="O21" s="524">
        <f t="shared" si="3"/>
        <v>59.999999999999993</v>
      </c>
      <c r="P21" s="568"/>
    </row>
    <row r="22" spans="2:22" ht="17.100000000000001" customHeight="1" thickBot="1" x14ac:dyDescent="0.3">
      <c r="B22" s="526" t="s">
        <v>114</v>
      </c>
      <c r="C22" s="526">
        <f>0.39*C17</f>
        <v>9.2836464230151385</v>
      </c>
      <c r="D22" s="494"/>
      <c r="E22" s="526">
        <f>0.39*E17</f>
        <v>9.2836464230151385</v>
      </c>
      <c r="F22" s="926"/>
      <c r="G22" s="527" t="s">
        <v>105</v>
      </c>
      <c r="H22" s="527">
        <f t="shared" ref="H22:O22" si="4">ATAN((H20*SIN(H21*PI()/180)*COS(H37*PI()/180))/(H20*COS(H21*PI()/180)))*180/PI()</f>
        <v>21.660323481796219</v>
      </c>
      <c r="I22" s="528">
        <f t="shared" si="4"/>
        <v>25.61272888225778</v>
      </c>
      <c r="J22" s="529">
        <f t="shared" si="4"/>
        <v>28.89282401164877</v>
      </c>
      <c r="K22" s="528">
        <f t="shared" si="4"/>
        <v>46.668244741831494</v>
      </c>
      <c r="L22" s="528">
        <f t="shared" si="4"/>
        <v>63.148819904237719</v>
      </c>
      <c r="M22" s="528">
        <f t="shared" si="4"/>
        <v>79.267670824091354</v>
      </c>
      <c r="N22" s="528">
        <f t="shared" si="4"/>
        <v>79.649948651069181</v>
      </c>
      <c r="O22" s="528">
        <f t="shared" si="4"/>
        <v>59.927123360883456</v>
      </c>
      <c r="P22" s="568"/>
    </row>
    <row r="23" spans="2:22" ht="17.100000000000001" customHeight="1" x14ac:dyDescent="0.25">
      <c r="B23" s="530" t="s">
        <v>303</v>
      </c>
      <c r="C23" s="493">
        <v>1.5</v>
      </c>
      <c r="D23" s="531"/>
      <c r="E23" s="495">
        <v>1.4</v>
      </c>
      <c r="F23" s="929"/>
      <c r="G23" s="515" t="s">
        <v>107</v>
      </c>
      <c r="H23" s="532">
        <f t="shared" ref="H23:O23" si="5">(H15*(SIN(PI()*H22/180)))-(H18*(COS(PI()*H22/180)))</f>
        <v>0.19290209854675502</v>
      </c>
      <c r="I23" s="533">
        <f t="shared" si="5"/>
        <v>0.20608399381954168</v>
      </c>
      <c r="J23" s="534">
        <f>(J15*(SIN(PI()*J22/180)))-(J18*(COS(PI()*J22/180)))</f>
        <v>0.30363732200592841</v>
      </c>
      <c r="K23" s="533">
        <f t="shared" si="5"/>
        <v>-6.0467481809343152E-2</v>
      </c>
      <c r="L23" s="533">
        <f t="shared" si="5"/>
        <v>-3.9800014919979268E-2</v>
      </c>
      <c r="M23" s="533">
        <f t="shared" si="5"/>
        <v>-3.724420512494292E-2</v>
      </c>
      <c r="N23" s="533">
        <f t="shared" si="5"/>
        <v>-3.5932326043699836E-2</v>
      </c>
      <c r="O23" s="533">
        <f t="shared" si="5"/>
        <v>-0.1002202250522119</v>
      </c>
      <c r="P23" s="569"/>
    </row>
    <row r="24" spans="2:22" ht="17.100000000000001" customHeight="1" thickBot="1" x14ac:dyDescent="0.3">
      <c r="B24" s="535" t="s">
        <v>306</v>
      </c>
      <c r="C24" s="472">
        <v>0.05</v>
      </c>
      <c r="D24" s="531"/>
      <c r="E24" s="500">
        <v>0.25</v>
      </c>
      <c r="F24" s="140"/>
      <c r="G24" s="519" t="s">
        <v>109</v>
      </c>
      <c r="H24" s="519">
        <f t="shared" ref="H24:O24" si="6">(H15*(COS(PI()*H22/180)))+(H18*(SIN(PI()*H22/180)))</f>
        <v>0.89176840722718687</v>
      </c>
      <c r="I24" s="520">
        <f t="shared" si="6"/>
        <v>0.73293334315710679</v>
      </c>
      <c r="J24" s="521">
        <f t="shared" si="6"/>
        <v>0.8603874060197092</v>
      </c>
      <c r="K24" s="520">
        <f t="shared" si="6"/>
        <v>6.4095322948674649E-2</v>
      </c>
      <c r="L24" s="520">
        <f t="shared" si="6"/>
        <v>7.8616064469213737E-2</v>
      </c>
      <c r="M24" s="520">
        <f t="shared" si="6"/>
        <v>0.1965015755270455</v>
      </c>
      <c r="N24" s="520">
        <f t="shared" si="6"/>
        <v>0.19674569358715133</v>
      </c>
      <c r="O24" s="520">
        <f t="shared" si="6"/>
        <v>0.1730777469534544</v>
      </c>
      <c r="P24" s="568"/>
    </row>
    <row r="25" spans="2:22" ht="17.100000000000001" customHeight="1" thickBot="1" x14ac:dyDescent="0.3">
      <c r="B25" s="518"/>
      <c r="C25" s="518"/>
      <c r="D25" s="503"/>
      <c r="E25" s="518"/>
      <c r="F25" s="182"/>
      <c r="G25" s="523" t="s">
        <v>111</v>
      </c>
      <c r="H25" s="523">
        <f t="shared" ref="H25:N25" si="7">H20*0.5144</f>
        <v>11.485919601961957</v>
      </c>
      <c r="I25" s="524">
        <f t="shared" si="7"/>
        <v>11.449668184041856</v>
      </c>
      <c r="J25" s="525">
        <f t="shared" si="7"/>
        <v>11.492202841015159</v>
      </c>
      <c r="K25" s="524">
        <f t="shared" si="7"/>
        <v>8.2303999999999995</v>
      </c>
      <c r="L25" s="524">
        <f t="shared" si="7"/>
        <v>8.2303999999999995</v>
      </c>
      <c r="M25" s="524">
        <f t="shared" si="7"/>
        <v>8.2303999999999995</v>
      </c>
      <c r="N25" s="524">
        <f t="shared" si="7"/>
        <v>8.2303999999999995</v>
      </c>
      <c r="O25" s="524">
        <f>O20*0.5144</f>
        <v>8.2303999999999995</v>
      </c>
      <c r="P25" s="568"/>
    </row>
    <row r="26" spans="2:22" ht="17.100000000000001" customHeight="1" thickBot="1" x14ac:dyDescent="0.3">
      <c r="B26" s="536" t="s">
        <v>102</v>
      </c>
      <c r="C26" s="537">
        <f>'Initial Rig Data'!I38</f>
        <v>0</v>
      </c>
      <c r="D26" s="480"/>
      <c r="E26" s="537">
        <f>C26</f>
        <v>0</v>
      </c>
      <c r="F26" s="182"/>
      <c r="G26" s="527" t="s">
        <v>113</v>
      </c>
      <c r="H26" s="538">
        <f t="shared" ref="H26:O26" si="8">((H25*COS(H21*PI()/180))^2+(H25*SIN(H21*PI()/180)*COS(H37*PI()/180))^2)^0.5</f>
        <v>11.26649262471985</v>
      </c>
      <c r="I26" s="539">
        <f t="shared" si="8"/>
        <v>11.260651886237705</v>
      </c>
      <c r="J26" s="540">
        <f t="shared" si="8"/>
        <v>11.318512223528558</v>
      </c>
      <c r="K26" s="539">
        <f t="shared" si="8"/>
        <v>7.7094616566226604</v>
      </c>
      <c r="L26" s="539">
        <f t="shared" si="8"/>
        <v>7.7009350969128301</v>
      </c>
      <c r="M26" s="539">
        <f t="shared" si="8"/>
        <v>7.674718559171267</v>
      </c>
      <c r="N26" s="539">
        <f t="shared" si="8"/>
        <v>7.9549203674249336</v>
      </c>
      <c r="O26" s="539">
        <f t="shared" si="8"/>
        <v>8.2123144262669516</v>
      </c>
      <c r="P26" s="569"/>
    </row>
    <row r="27" spans="2:22" ht="17.100000000000001" customHeight="1" thickBot="1" x14ac:dyDescent="0.3">
      <c r="B27" s="518"/>
      <c r="C27" s="518"/>
      <c r="D27" s="503"/>
      <c r="E27" s="518"/>
      <c r="G27" s="541" t="s">
        <v>115</v>
      </c>
      <c r="H27" s="541">
        <f t="shared" ref="H27:O27" si="9">0.5*$C$5*H14*H26^2*H23*H8^2</f>
        <v>2464.2992915095028</v>
      </c>
      <c r="I27" s="542">
        <f t="shared" si="9"/>
        <v>2629.9673339062065</v>
      </c>
      <c r="J27" s="499">
        <f t="shared" si="9"/>
        <v>3914.8296350676733</v>
      </c>
      <c r="K27" s="542">
        <f t="shared" si="9"/>
        <v>0</v>
      </c>
      <c r="L27" s="542">
        <f t="shared" si="9"/>
        <v>0</v>
      </c>
      <c r="M27" s="542">
        <f t="shared" si="9"/>
        <v>0</v>
      </c>
      <c r="N27" s="542">
        <f t="shared" si="9"/>
        <v>0</v>
      </c>
      <c r="O27" s="542">
        <f t="shared" si="9"/>
        <v>0</v>
      </c>
      <c r="P27" s="568"/>
    </row>
    <row r="28" spans="2:22" ht="17.100000000000001" customHeight="1" thickBot="1" x14ac:dyDescent="0.3">
      <c r="B28" s="530" t="s">
        <v>117</v>
      </c>
      <c r="C28" s="522">
        <f>C12+C21</f>
        <v>163.64544094243922</v>
      </c>
      <c r="D28" s="480"/>
      <c r="E28" s="479">
        <f>E12+E21</f>
        <v>163.64544094243922</v>
      </c>
      <c r="G28" s="543" t="s">
        <v>116</v>
      </c>
      <c r="H28" s="543">
        <f t="shared" ref="H28:O28" si="10">0.5*$C$5*H14*H26^2*H24*H8^2</f>
        <v>11392.225749103869</v>
      </c>
      <c r="I28" s="544">
        <f t="shared" si="10"/>
        <v>9353.4229161036255</v>
      </c>
      <c r="J28" s="545">
        <f t="shared" si="10"/>
        <v>11093.070155121432</v>
      </c>
      <c r="K28" s="544">
        <f t="shared" si="10"/>
        <v>0</v>
      </c>
      <c r="L28" s="544">
        <f t="shared" si="10"/>
        <v>0</v>
      </c>
      <c r="M28" s="544">
        <f t="shared" si="10"/>
        <v>0</v>
      </c>
      <c r="N28" s="544">
        <f t="shared" si="10"/>
        <v>0</v>
      </c>
      <c r="O28" s="544">
        <f t="shared" si="10"/>
        <v>0</v>
      </c>
      <c r="P28" s="568"/>
    </row>
    <row r="29" spans="2:22" ht="17.100000000000001" customHeight="1" thickBot="1" x14ac:dyDescent="0.3">
      <c r="B29" s="565" t="s">
        <v>119</v>
      </c>
      <c r="C29" s="526">
        <f>(($C$12*C14)+($C$21*C23))/$C$28</f>
        <v>1.4999999999999998</v>
      </c>
      <c r="D29" s="480"/>
      <c r="E29" s="551">
        <f>(($C$12*E14)+($C$21*E23))/E28</f>
        <v>1.375</v>
      </c>
      <c r="G29" s="515"/>
      <c r="H29" s="515"/>
      <c r="I29" s="516"/>
      <c r="J29" s="517"/>
      <c r="K29" s="516"/>
      <c r="L29" s="516"/>
      <c r="M29" s="516"/>
      <c r="N29" s="516"/>
      <c r="O29" s="516"/>
      <c r="P29" s="568"/>
    </row>
    <row r="30" spans="2:22" ht="17.100000000000001" customHeight="1" thickBot="1" x14ac:dyDescent="0.3">
      <c r="B30" s="518"/>
      <c r="C30" s="518"/>
      <c r="D30" s="503"/>
      <c r="E30" s="518"/>
      <c r="F30" s="140"/>
      <c r="G30" s="519" t="s">
        <v>118</v>
      </c>
      <c r="H30" s="519">
        <f t="shared" ref="H30:N30" si="11">H28/H27</f>
        <v>4.6229067176842706</v>
      </c>
      <c r="I30" s="520">
        <f t="shared" si="11"/>
        <v>3.556478742346691</v>
      </c>
      <c r="J30" s="521">
        <f t="shared" si="11"/>
        <v>2.8336022737116306</v>
      </c>
      <c r="K30" s="520" t="e">
        <f t="shared" si="11"/>
        <v>#DIV/0!</v>
      </c>
      <c r="L30" s="520" t="e">
        <f t="shared" si="11"/>
        <v>#DIV/0!</v>
      </c>
      <c r="M30" s="520" t="e">
        <f t="shared" si="11"/>
        <v>#DIV/0!</v>
      </c>
      <c r="N30" s="520" t="e">
        <f t="shared" si="11"/>
        <v>#DIV/0!</v>
      </c>
      <c r="O30" s="520" t="e">
        <f>O28/O27</f>
        <v>#DIV/0!</v>
      </c>
      <c r="P30" s="568"/>
    </row>
    <row r="31" spans="2:22" ht="17.100000000000001" customHeight="1" thickBot="1" x14ac:dyDescent="0.3">
      <c r="B31" s="478" t="s">
        <v>95</v>
      </c>
      <c r="C31" s="522">
        <f>C9+C11</f>
        <v>23.381717134266243</v>
      </c>
      <c r="D31" s="531"/>
      <c r="E31" s="522">
        <f>E9+E11</f>
        <v>23.381717134266243</v>
      </c>
      <c r="F31" s="140"/>
      <c r="G31" s="543"/>
      <c r="H31" s="543"/>
      <c r="I31" s="544"/>
      <c r="J31" s="545"/>
      <c r="K31" s="544"/>
      <c r="L31" s="544"/>
      <c r="M31" s="544"/>
      <c r="N31" s="544"/>
      <c r="O31" s="544"/>
      <c r="P31" s="568"/>
    </row>
    <row r="32" spans="2:22" ht="17.100000000000001" customHeight="1" thickBot="1" x14ac:dyDescent="0.3">
      <c r="B32" s="484" t="s">
        <v>96</v>
      </c>
      <c r="C32" s="531">
        <f>'Hull RM''s'!$D$12</f>
        <v>4.5999999999999996</v>
      </c>
      <c r="D32" s="531"/>
      <c r="E32" s="531">
        <f>'Hull RM''s'!$D$12</f>
        <v>4.5999999999999996</v>
      </c>
      <c r="F32" s="546"/>
      <c r="G32" s="504" t="s">
        <v>121</v>
      </c>
      <c r="H32" s="504">
        <f t="shared" ref="H32:O32" si="12">$C$42</f>
        <v>11.401798645618017</v>
      </c>
      <c r="I32" s="547">
        <f t="shared" si="12"/>
        <v>11.401798645618017</v>
      </c>
      <c r="J32" s="529">
        <f t="shared" si="12"/>
        <v>11.401798645618017</v>
      </c>
      <c r="K32" s="547">
        <f t="shared" si="12"/>
        <v>11.401798645618017</v>
      </c>
      <c r="L32" s="547">
        <f t="shared" si="12"/>
        <v>11.401798645618017</v>
      </c>
      <c r="M32" s="547">
        <f t="shared" si="12"/>
        <v>11.401798645618017</v>
      </c>
      <c r="N32" s="547">
        <f t="shared" si="12"/>
        <v>11.401798645618017</v>
      </c>
      <c r="O32" s="547">
        <f t="shared" si="12"/>
        <v>11.401798645618017</v>
      </c>
      <c r="P32" s="568"/>
    </row>
    <row r="33" spans="2:20" ht="17.100000000000001" customHeight="1" thickBot="1" x14ac:dyDescent="0.3">
      <c r="B33" s="526" t="s">
        <v>98</v>
      </c>
      <c r="C33" s="526">
        <f>((1.1*(C31+C6))^2)/C28</f>
        <v>4.4679251966008788</v>
      </c>
      <c r="D33" s="531"/>
      <c r="E33" s="526">
        <f>((1.1*(E31+E6))^2)/E28</f>
        <v>4.4679251966008788</v>
      </c>
      <c r="F33" s="140"/>
      <c r="G33" s="572" t="s">
        <v>123</v>
      </c>
      <c r="H33" s="572">
        <f t="shared" ref="H33:O33" si="13">H28*H32/1000</f>
        <v>129.89186411670718</v>
      </c>
      <c r="I33" s="529">
        <f t="shared" si="13"/>
        <v>106.64584473672284</v>
      </c>
      <c r="J33" s="529">
        <f t="shared" si="13"/>
        <v>126.48095227040918</v>
      </c>
      <c r="K33" s="529">
        <f t="shared" si="13"/>
        <v>0</v>
      </c>
      <c r="L33" s="529">
        <f t="shared" si="13"/>
        <v>0</v>
      </c>
      <c r="M33" s="529">
        <f t="shared" si="13"/>
        <v>0</v>
      </c>
      <c r="N33" s="529">
        <f t="shared" si="13"/>
        <v>0</v>
      </c>
      <c r="O33" s="573">
        <f t="shared" si="13"/>
        <v>0</v>
      </c>
      <c r="P33" s="943" t="s">
        <v>384</v>
      </c>
      <c r="S33" s="148"/>
    </row>
    <row r="34" spans="2:20" ht="9" customHeight="1" thickBot="1" x14ac:dyDescent="0.3">
      <c r="B34" s="518"/>
      <c r="C34" s="518"/>
      <c r="D34" s="503"/>
      <c r="E34" s="518"/>
      <c r="F34" s="148"/>
      <c r="G34" s="548"/>
      <c r="H34" s="549"/>
      <c r="I34" s="492"/>
      <c r="J34" s="492"/>
      <c r="K34" s="492"/>
      <c r="L34" s="492"/>
      <c r="M34" s="492"/>
      <c r="N34" s="492"/>
      <c r="O34" s="492"/>
      <c r="P34" s="944"/>
      <c r="S34" s="148"/>
    </row>
    <row r="35" spans="2:20" ht="19.5" customHeight="1" thickBot="1" x14ac:dyDescent="0.3">
      <c r="B35" s="518"/>
      <c r="C35" s="518"/>
      <c r="D35" s="503"/>
      <c r="E35" s="518"/>
      <c r="F35" s="148"/>
      <c r="G35" s="588" t="s">
        <v>371</v>
      </c>
      <c r="H35" s="591">
        <f>(H33-'Hull RM''s'!$N$42)/'Hull RM''s'!$L$42</f>
        <v>22.493476666183142</v>
      </c>
      <c r="I35" s="585">
        <f>(I33-'Hull RM''s'!$N$42)/'Hull RM''s'!$L$42</f>
        <v>18.33418900603667</v>
      </c>
      <c r="J35" s="591">
        <f>(J33-'Hull RM''s'!$N$42)/'Hull RM''s'!$L$42</f>
        <v>21.883180196914505</v>
      </c>
      <c r="K35" s="595">
        <f>(K33-'Hull RM''s'!$N$42)/'Hull RM''s'!$L$42</f>
        <v>-0.74738959753613532</v>
      </c>
      <c r="L35" s="591">
        <f>(L33-'Hull RM''s'!$N$42)/'Hull RM''s'!$L$42</f>
        <v>-0.74738959753613532</v>
      </c>
      <c r="M35" s="595">
        <f>(M33-'Hull RM''s'!$N$42)/'Hull RM''s'!$L$42</f>
        <v>-0.74738959753613532</v>
      </c>
      <c r="N35" s="591">
        <f>(N33-'Hull RM''s'!$N$42)/'Hull RM''s'!$L$42</f>
        <v>-0.74738959753613532</v>
      </c>
      <c r="O35" s="595">
        <f>(O33-'Hull RM''s'!$N$42)/'Hull RM''s'!$L$42</f>
        <v>-0.74738959753613532</v>
      </c>
      <c r="P35" s="944"/>
      <c r="S35" s="148"/>
    </row>
    <row r="36" spans="2:20" ht="21.75" customHeight="1" thickBot="1" x14ac:dyDescent="0.3">
      <c r="B36" s="550" t="s">
        <v>120</v>
      </c>
      <c r="C36" s="522">
        <f>(($C$12*C15)+($C$21*C24))/$C$28</f>
        <v>4.9999999999999996E-2</v>
      </c>
      <c r="D36" s="551"/>
      <c r="E36" s="479">
        <f>(($C$12*E15)+($C$21*E24))/E28</f>
        <v>0.19999999999999998</v>
      </c>
      <c r="F36" s="552"/>
      <c r="G36" s="589"/>
      <c r="H36" s="592"/>
      <c r="I36" s="566"/>
      <c r="J36" s="592"/>
      <c r="K36" s="566"/>
      <c r="L36" s="592"/>
      <c r="M36" s="566"/>
      <c r="N36" s="592"/>
      <c r="O36" s="566"/>
      <c r="P36" s="944"/>
      <c r="S36" s="148"/>
    </row>
    <row r="37" spans="2:20" ht="20.100000000000001" customHeight="1" thickBot="1" x14ac:dyDescent="0.3">
      <c r="B37" s="531" t="s">
        <v>122</v>
      </c>
      <c r="C37" s="911" t="s">
        <v>141</v>
      </c>
      <c r="D37" s="912"/>
      <c r="E37" s="913"/>
      <c r="F37" s="552"/>
      <c r="G37" s="590" t="s">
        <v>137</v>
      </c>
      <c r="H37" s="593">
        <v>28.24942862701635</v>
      </c>
      <c r="I37" s="594">
        <v>23.055784631007942</v>
      </c>
      <c r="J37" s="593">
        <v>20</v>
      </c>
      <c r="K37" s="594">
        <v>27.196696603498978</v>
      </c>
      <c r="L37" s="593">
        <v>22.914497865998719</v>
      </c>
      <c r="M37" s="594">
        <v>21.517342509489385</v>
      </c>
      <c r="N37" s="593">
        <v>15.100631927259013</v>
      </c>
      <c r="O37" s="594">
        <v>4.387817445622229</v>
      </c>
      <c r="P37" s="945"/>
      <c r="S37" s="148"/>
    </row>
    <row r="38" spans="2:20" ht="20.100000000000001" customHeight="1" thickBot="1" x14ac:dyDescent="0.3">
      <c r="B38" s="526" t="s">
        <v>124</v>
      </c>
      <c r="C38" s="911" t="s">
        <v>141</v>
      </c>
      <c r="D38" s="912"/>
      <c r="E38" s="913"/>
      <c r="F38" s="552"/>
      <c r="S38" s="148"/>
    </row>
    <row r="39" spans="2:20" ht="13.8" thickBot="1" x14ac:dyDescent="0.3">
      <c r="B39" s="553" t="s">
        <v>125</v>
      </c>
      <c r="C39" s="537">
        <f>SUM(C36:C38)</f>
        <v>4.9999999999999996E-2</v>
      </c>
      <c r="D39" s="479"/>
      <c r="E39" s="537">
        <f>SUM(E36:E38)</f>
        <v>0.19999999999999998</v>
      </c>
      <c r="F39" s="148"/>
      <c r="H39" s="752">
        <f>H35-H37</f>
        <v>-5.7559519608332081</v>
      </c>
      <c r="I39" s="752">
        <f t="shared" ref="I39:O39" si="14">I35-I37</f>
        <v>-4.7215956249712718</v>
      </c>
      <c r="J39" s="793"/>
      <c r="K39" s="752">
        <f t="shared" si="14"/>
        <v>-27.944086201035113</v>
      </c>
      <c r="L39" s="752">
        <f t="shared" si="14"/>
        <v>-23.661887463534853</v>
      </c>
      <c r="M39" s="752">
        <f t="shared" si="14"/>
        <v>-22.26473210702552</v>
      </c>
      <c r="N39" s="752">
        <f t="shared" si="14"/>
        <v>-15.848021524795147</v>
      </c>
      <c r="O39" s="752">
        <f t="shared" si="14"/>
        <v>-5.1352070431583643</v>
      </c>
      <c r="S39" s="148"/>
    </row>
    <row r="40" spans="2:20" ht="24.75" customHeight="1" thickBot="1" x14ac:dyDescent="0.3">
      <c r="B40" s="530" t="s">
        <v>126</v>
      </c>
      <c r="C40" s="479">
        <f>((C12*C13)+(C21*C22))/C28</f>
        <v>9.811258052689487</v>
      </c>
      <c r="D40" s="480"/>
      <c r="E40" s="479">
        <f>((E12*E13)+(E21*E22))/E28</f>
        <v>9.811258052689487</v>
      </c>
      <c r="F40" s="148"/>
      <c r="G40" s="143"/>
      <c r="H40" s="182"/>
      <c r="I40" s="182"/>
      <c r="J40" s="182"/>
      <c r="K40" s="182"/>
      <c r="L40" s="182"/>
      <c r="M40" s="182"/>
      <c r="N40" s="798"/>
      <c r="S40" s="148"/>
    </row>
    <row r="41" spans="2:20" ht="24.75" customHeight="1" thickBot="1" x14ac:dyDescent="0.3">
      <c r="B41" s="553" t="s">
        <v>127</v>
      </c>
      <c r="C41" s="537">
        <f>'Hull RM''s'!D25+(0.4*'Hull RM''s'!G13)</f>
        <v>1.5905405929285295</v>
      </c>
      <c r="D41" s="480"/>
      <c r="E41" s="537">
        <f>C41</f>
        <v>1.5905405929285295</v>
      </c>
      <c r="G41" s="587"/>
      <c r="H41" s="587"/>
      <c r="I41" s="587"/>
      <c r="J41" s="587"/>
      <c r="K41" s="587"/>
      <c r="L41" s="586"/>
      <c r="M41" s="586"/>
      <c r="N41" s="586"/>
      <c r="O41" s="145"/>
      <c r="P41" s="145"/>
      <c r="Q41" s="140"/>
      <c r="R41" s="148"/>
      <c r="S41" s="148"/>
    </row>
    <row r="42" spans="2:20" ht="25.5" customHeight="1" thickBot="1" x14ac:dyDescent="0.3">
      <c r="B42" s="553" t="s">
        <v>128</v>
      </c>
      <c r="C42" s="537">
        <f>SUM(C40:C41)</f>
        <v>11.401798645618017</v>
      </c>
      <c r="D42" s="480"/>
      <c r="E42" s="537">
        <f>SUM(E40:E41)</f>
        <v>11.401798645618017</v>
      </c>
      <c r="F42" s="148"/>
      <c r="G42" s="587"/>
      <c r="H42" s="587"/>
      <c r="I42" s="587"/>
      <c r="J42" s="587"/>
      <c r="K42" s="587"/>
      <c r="L42" s="586"/>
      <c r="M42" s="586"/>
      <c r="N42" s="586"/>
      <c r="Q42" s="148"/>
      <c r="R42" s="148"/>
      <c r="S42" s="148"/>
    </row>
    <row r="43" spans="2:20" ht="16.2" thickBot="1" x14ac:dyDescent="0.3">
      <c r="B43" s="83"/>
      <c r="C43" s="554"/>
      <c r="D43" s="554"/>
      <c r="E43" s="145"/>
      <c r="F43" s="148"/>
      <c r="G43" s="587"/>
      <c r="H43" s="587"/>
      <c r="I43" s="587"/>
      <c r="J43" s="587"/>
      <c r="K43" s="587"/>
      <c r="L43" s="586"/>
      <c r="M43" s="586"/>
      <c r="N43" s="586"/>
      <c r="O43" s="140"/>
      <c r="P43" s="143"/>
      <c r="Q43" s="143"/>
      <c r="R43" s="140"/>
      <c r="S43" s="148"/>
    </row>
    <row r="44" spans="2:20" ht="28.5" customHeight="1" thickBot="1" x14ac:dyDescent="0.3">
      <c r="B44" s="574" t="s">
        <v>274</v>
      </c>
      <c r="C44" s="575">
        <f>E28/('Hull RM''s'!G4)^0.666</f>
        <v>24.727639726290416</v>
      </c>
      <c r="D44" s="554"/>
      <c r="G44" s="555"/>
      <c r="H44" s="140"/>
      <c r="I44" s="140"/>
      <c r="J44" s="182"/>
      <c r="K44" s="182"/>
      <c r="L44" s="182"/>
      <c r="M44" s="182"/>
      <c r="N44" s="182"/>
      <c r="O44" s="140"/>
      <c r="P44" s="143"/>
      <c r="Q44" s="143"/>
      <c r="R44" s="143"/>
      <c r="S44" s="76"/>
      <c r="T44" s="76"/>
    </row>
    <row r="45" spans="2:20" x14ac:dyDescent="0.25">
      <c r="G45" s="914" t="s">
        <v>129</v>
      </c>
      <c r="H45" s="915"/>
      <c r="I45" s="915"/>
      <c r="J45" s="915"/>
      <c r="K45" s="916"/>
      <c r="L45" s="140"/>
      <c r="M45" s="140"/>
      <c r="O45" s="140"/>
      <c r="P45" s="143"/>
      <c r="Q45" s="143"/>
      <c r="R45" s="143"/>
    </row>
    <row r="46" spans="2:20" ht="13.8" thickBot="1" x14ac:dyDescent="0.3">
      <c r="G46" s="917"/>
      <c r="H46" s="918"/>
      <c r="I46" s="918"/>
      <c r="J46" s="918"/>
      <c r="K46" s="919"/>
      <c r="L46" s="140"/>
      <c r="M46" s="140"/>
      <c r="O46" s="140"/>
      <c r="P46" s="143"/>
      <c r="Q46" s="143"/>
      <c r="R46" s="143"/>
    </row>
    <row r="47" spans="2:20" ht="23.25" customHeight="1" thickBot="1" x14ac:dyDescent="0.3">
      <c r="J47" s="140"/>
      <c r="K47" s="140"/>
      <c r="L47" s="140"/>
      <c r="M47" s="140"/>
      <c r="O47" s="140"/>
      <c r="P47" s="143"/>
      <c r="Q47" s="143"/>
      <c r="R47" s="143"/>
    </row>
    <row r="48" spans="2:20" ht="13.8" thickBot="1" x14ac:dyDescent="0.3">
      <c r="G48" s="226" t="s">
        <v>130</v>
      </c>
      <c r="H48" s="227" t="s">
        <v>131</v>
      </c>
      <c r="I48" s="107" t="s">
        <v>132</v>
      </c>
      <c r="J48" s="107" t="s">
        <v>133</v>
      </c>
      <c r="K48" s="197" t="s">
        <v>134</v>
      </c>
      <c r="O48" s="140"/>
      <c r="P48" s="143"/>
      <c r="Q48" s="143"/>
      <c r="R48" s="143"/>
      <c r="S48" s="76"/>
      <c r="T48" s="76"/>
    </row>
    <row r="49" spans="7:20" x14ac:dyDescent="0.25">
      <c r="G49" s="556">
        <v>27</v>
      </c>
      <c r="H49" s="557">
        <v>1.5</v>
      </c>
      <c r="I49" s="558">
        <v>0.02</v>
      </c>
      <c r="J49" s="558">
        <v>1.4</v>
      </c>
      <c r="K49" s="296">
        <v>0.02</v>
      </c>
      <c r="O49" s="140"/>
      <c r="P49" s="143"/>
      <c r="Q49" s="143"/>
      <c r="R49" s="143"/>
      <c r="S49" s="76"/>
      <c r="T49" s="76"/>
    </row>
    <row r="50" spans="7:20" x14ac:dyDescent="0.25">
      <c r="G50" s="559">
        <v>50</v>
      </c>
      <c r="H50" s="560">
        <v>1.5</v>
      </c>
      <c r="I50" s="561">
        <v>0.15</v>
      </c>
      <c r="J50" s="561">
        <v>1.4</v>
      </c>
      <c r="K50" s="85">
        <v>0.25</v>
      </c>
      <c r="O50" s="140"/>
      <c r="P50" s="140"/>
      <c r="Q50" s="140"/>
      <c r="R50" s="143"/>
      <c r="S50" s="76"/>
      <c r="T50" s="76"/>
    </row>
    <row r="51" spans="7:20" x14ac:dyDescent="0.25">
      <c r="G51" s="559">
        <v>80</v>
      </c>
      <c r="H51" s="560">
        <v>0.95</v>
      </c>
      <c r="I51" s="561">
        <v>0.8</v>
      </c>
      <c r="J51" s="561">
        <v>0.3</v>
      </c>
      <c r="K51" s="85">
        <v>0.15</v>
      </c>
      <c r="R51" s="76"/>
      <c r="S51" s="76"/>
      <c r="T51" s="76"/>
    </row>
    <row r="52" spans="7:20" x14ac:dyDescent="0.25">
      <c r="G52" s="559">
        <v>100</v>
      </c>
      <c r="H52" s="560">
        <v>0.85</v>
      </c>
      <c r="I52" s="561">
        <v>1</v>
      </c>
      <c r="J52" s="561">
        <v>0.8</v>
      </c>
      <c r="K52" s="85">
        <v>0</v>
      </c>
    </row>
    <row r="53" spans="7:20" ht="13.8" thickBot="1" x14ac:dyDescent="0.3">
      <c r="G53" s="562">
        <v>180</v>
      </c>
      <c r="H53" s="563">
        <v>0</v>
      </c>
      <c r="I53" s="564">
        <v>0.9</v>
      </c>
      <c r="J53" s="564">
        <v>0</v>
      </c>
      <c r="K53" s="78">
        <v>0</v>
      </c>
    </row>
  </sheetData>
  <sheetProtection selectLockedCells="1"/>
  <mergeCells count="16">
    <mergeCell ref="J5:J6"/>
    <mergeCell ref="B2:E2"/>
    <mergeCell ref="C38:E38"/>
    <mergeCell ref="G45:K46"/>
    <mergeCell ref="C37:E37"/>
    <mergeCell ref="G2:P2"/>
    <mergeCell ref="G4:N4"/>
    <mergeCell ref="F12:F13"/>
    <mergeCell ref="B3:E3"/>
    <mergeCell ref="F22:F23"/>
    <mergeCell ref="B7:E7"/>
    <mergeCell ref="H13:L13"/>
    <mergeCell ref="M13:O13"/>
    <mergeCell ref="O4:O6"/>
    <mergeCell ref="P4:P6"/>
    <mergeCell ref="P33:P37"/>
  </mergeCells>
  <phoneticPr fontId="3" type="noConversion"/>
  <pageMargins left="0.74803149606299213" right="0.74803149606299213" top="0.98425196850393704" bottom="0.98425196850393704" header="0.51181102362204722" footer="0.51181102362204722"/>
  <pageSetup paperSize="9" scale="48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2:AC455"/>
  <sheetViews>
    <sheetView tabSelected="1" topLeftCell="A226" zoomScale="94" zoomScaleNormal="94" workbookViewId="0">
      <selection activeCell="I363" sqref="I363"/>
    </sheetView>
  </sheetViews>
  <sheetFormatPr defaultColWidth="9.109375" defaultRowHeight="13.2" x14ac:dyDescent="0.25"/>
  <cols>
    <col min="1" max="1" width="18.6640625" style="61" customWidth="1"/>
    <col min="2" max="2" width="14.44140625" style="61" customWidth="1"/>
    <col min="3" max="3" width="17.44140625" style="61" customWidth="1"/>
    <col min="4" max="4" width="16.5546875" style="61" customWidth="1"/>
    <col min="5" max="5" width="21.44140625" style="61" customWidth="1"/>
    <col min="6" max="6" width="30.33203125" style="61" bestFit="1" customWidth="1"/>
    <col min="7" max="7" width="11.6640625" style="61" customWidth="1"/>
    <col min="8" max="8" width="11.33203125" style="61" customWidth="1"/>
    <col min="9" max="9" width="11.6640625" style="61" customWidth="1"/>
    <col min="10" max="10" width="23" style="61" customWidth="1"/>
    <col min="11" max="11" width="26.33203125" style="61" customWidth="1"/>
    <col min="12" max="12" width="12.6640625" style="61" customWidth="1"/>
    <col min="13" max="13" width="11.6640625" style="61" customWidth="1"/>
    <col min="14" max="14" width="11.44140625" style="61" customWidth="1"/>
    <col min="15" max="16" width="14.109375" style="61" customWidth="1"/>
    <col min="17" max="17" width="15.88671875" style="61" customWidth="1"/>
    <col min="18" max="18" width="15.6640625" style="61" customWidth="1"/>
    <col min="19" max="19" width="13" style="61" customWidth="1"/>
    <col min="20" max="20" width="11.88671875" style="61" customWidth="1"/>
    <col min="21" max="21" width="13.33203125" style="61" customWidth="1"/>
    <col min="22" max="22" width="12" style="61" customWidth="1"/>
    <col min="23" max="23" width="22.33203125" style="61" customWidth="1"/>
    <col min="24" max="27" width="10.6640625" style="61" customWidth="1"/>
    <col min="28" max="16384" width="9.109375" style="61"/>
  </cols>
  <sheetData>
    <row r="2" spans="1:14" ht="13.8" thickBot="1" x14ac:dyDescent="0.3"/>
    <row r="3" spans="1:14" ht="13.8" thickBot="1" x14ac:dyDescent="0.3">
      <c r="A3" s="62" t="s">
        <v>142</v>
      </c>
      <c r="B3" s="63"/>
      <c r="C3" s="64" t="s">
        <v>143</v>
      </c>
      <c r="D3" s="65">
        <f>B15/B5</f>
        <v>0.53</v>
      </c>
      <c r="F3" s="66" t="s">
        <v>144</v>
      </c>
      <c r="G3" s="67"/>
      <c r="J3" s="611" t="s">
        <v>264</v>
      </c>
      <c r="K3" s="610">
        <f>'Initial Boat Data'!AG48</f>
        <v>1</v>
      </c>
      <c r="M3" s="62" t="s">
        <v>13</v>
      </c>
      <c r="N3" s="63"/>
    </row>
    <row r="4" spans="1:14" ht="13.8" thickBot="1" x14ac:dyDescent="0.3">
      <c r="C4" s="68" t="s">
        <v>145</v>
      </c>
      <c r="D4" s="69">
        <f>B8</f>
        <v>0.56000000000000005</v>
      </c>
      <c r="F4" s="72" t="s">
        <v>148</v>
      </c>
      <c r="G4" s="667">
        <f>'Initial Boat Data'!I27</f>
        <v>1025</v>
      </c>
      <c r="J4" s="72" t="s">
        <v>164</v>
      </c>
      <c r="K4" s="667">
        <f>'Hull RM''s'!G39</f>
        <v>2.0025219523815574</v>
      </c>
      <c r="M4" s="70" t="s">
        <v>149</v>
      </c>
      <c r="N4" s="71">
        <f>'Initial Boat Data'!AD48</f>
        <v>2.78</v>
      </c>
    </row>
    <row r="5" spans="1:14" x14ac:dyDescent="0.25">
      <c r="A5" s="70" t="s">
        <v>146</v>
      </c>
      <c r="B5" s="71">
        <f>'Hull RM''s'!D11</f>
        <v>14.75</v>
      </c>
      <c r="C5" s="242" t="s">
        <v>147</v>
      </c>
      <c r="D5" s="69">
        <f>(($B$6/($G$4/1000))^0.666)/B17</f>
        <v>0.15828987411559645</v>
      </c>
      <c r="F5" s="73" t="s">
        <v>151</v>
      </c>
      <c r="G5" s="74">
        <f>'Initial Boat Data'!I28</f>
        <v>1.1900000000000001E-3</v>
      </c>
      <c r="J5" s="73" t="s">
        <v>165</v>
      </c>
      <c r="K5" s="74">
        <f>0.5*('Hull RM''s'!G35+'Hull RM''s'!G37)</f>
        <v>1.1125121957675321</v>
      </c>
      <c r="M5" s="73" t="s">
        <v>152</v>
      </c>
      <c r="N5" s="74">
        <f>'Initial Boat Data'!AE48</f>
        <v>0.26500000000000001</v>
      </c>
    </row>
    <row r="6" spans="1:14" ht="13.8" thickBot="1" x14ac:dyDescent="0.3">
      <c r="A6" s="73" t="s">
        <v>266</v>
      </c>
      <c r="B6" s="84">
        <f>'Hull RM''s'!G5</f>
        <v>15.578279919919144</v>
      </c>
      <c r="C6" s="242" t="s">
        <v>150</v>
      </c>
      <c r="D6" s="69">
        <f>B7/B5</f>
        <v>0.26508474576271185</v>
      </c>
      <c r="F6" s="75" t="s">
        <v>154</v>
      </c>
      <c r="G6" s="668">
        <f>'Initial Boat Data'!I29</f>
        <v>0.7</v>
      </c>
      <c r="J6" s="82" t="s">
        <v>167</v>
      </c>
      <c r="K6" s="669">
        <f>0.5*('Hull RM''s'!G36+'Hull RM''s'!G38)</f>
        <v>0.11</v>
      </c>
      <c r="M6" s="73" t="s">
        <v>155</v>
      </c>
      <c r="N6" s="74">
        <f>'Initial Boat Data'!AF48</f>
        <v>4.32</v>
      </c>
    </row>
    <row r="7" spans="1:14" ht="13.8" thickBot="1" x14ac:dyDescent="0.3">
      <c r="A7" s="73" t="s">
        <v>153</v>
      </c>
      <c r="B7" s="74">
        <f>'Hull RM''s'!D14</f>
        <v>3.9099999999999997</v>
      </c>
      <c r="C7" s="242"/>
      <c r="D7" s="69"/>
      <c r="J7" s="70" t="s">
        <v>155</v>
      </c>
      <c r="K7" s="71">
        <f>2*K4*K5*K3</f>
        <v>4.4556601886333835</v>
      </c>
      <c r="M7" s="77" t="s">
        <v>157</v>
      </c>
      <c r="N7" s="78">
        <f>1+(1.5*N5)</f>
        <v>1.3975</v>
      </c>
    </row>
    <row r="8" spans="1:14" ht="13.8" thickBot="1" x14ac:dyDescent="0.3">
      <c r="A8" s="73" t="s">
        <v>145</v>
      </c>
      <c r="B8" s="74">
        <f>'Hull RM''s'!D19</f>
        <v>0.56000000000000005</v>
      </c>
      <c r="C8" s="242" t="s">
        <v>156</v>
      </c>
      <c r="D8" s="69">
        <f>(($B$6/($G$4/1000))^0.666)/B12</f>
        <v>0.14084624399597628</v>
      </c>
      <c r="G8" s="76"/>
      <c r="J8" s="73" t="s">
        <v>168</v>
      </c>
      <c r="K8" s="84">
        <f>1+(2*K6)+(60*K6^4)</f>
        <v>1.2287846</v>
      </c>
    </row>
    <row r="9" spans="1:14" ht="13.8" thickBot="1" x14ac:dyDescent="0.3">
      <c r="A9" s="79" t="s">
        <v>158</v>
      </c>
      <c r="B9" s="670">
        <f>'Hull RM''s'!D20</f>
        <v>0.7</v>
      </c>
      <c r="C9" s="242" t="s">
        <v>159</v>
      </c>
      <c r="D9" s="69">
        <f>B15/B16</f>
        <v>0.96363636363636351</v>
      </c>
      <c r="F9" s="62" t="s">
        <v>12</v>
      </c>
      <c r="G9" s="246"/>
      <c r="J9" s="73" t="s">
        <v>265</v>
      </c>
      <c r="K9" s="85">
        <f>'Hull RM''s'!G41</f>
        <v>0.27599784939339356</v>
      </c>
    </row>
    <row r="10" spans="1:14" ht="13.8" thickBot="1" x14ac:dyDescent="0.3">
      <c r="A10" s="79" t="s">
        <v>160</v>
      </c>
      <c r="B10" s="671">
        <f>'Hull RM''s'!D24</f>
        <v>1.8859903050749565</v>
      </c>
      <c r="C10" s="242" t="s">
        <v>161</v>
      </c>
      <c r="D10" s="69">
        <f>(B15/B5)^2</f>
        <v>0.28090000000000004</v>
      </c>
      <c r="F10" s="72" t="s">
        <v>164</v>
      </c>
      <c r="G10" s="667">
        <f>'Hull RM''s'!G13</f>
        <v>2.2536712621213266</v>
      </c>
      <c r="J10" s="75" t="s">
        <v>263</v>
      </c>
      <c r="K10" s="244">
        <f>-'Hull RM''s'!D42</f>
        <v>0.8069864584224189</v>
      </c>
    </row>
    <row r="11" spans="1:14" ht="13.8" thickBot="1" x14ac:dyDescent="0.3">
      <c r="A11" s="73" t="s">
        <v>162</v>
      </c>
      <c r="B11" s="80">
        <f>'Hull RM''s'!D25</f>
        <v>0.68907208807999876</v>
      </c>
      <c r="C11" s="242" t="s">
        <v>163</v>
      </c>
      <c r="D11" s="69">
        <f>B8^2</f>
        <v>0.31360000000000005</v>
      </c>
      <c r="F11" s="73" t="s">
        <v>165</v>
      </c>
      <c r="G11" s="74">
        <f>0.5*('Hull RM''s'!G9+'Hull RM''s'!G11)</f>
        <v>2.1182865979242447</v>
      </c>
      <c r="J11" s="612" t="s">
        <v>14</v>
      </c>
      <c r="K11" s="246"/>
    </row>
    <row r="12" spans="1:14" ht="13.8" thickBot="1" x14ac:dyDescent="0.3">
      <c r="A12" s="73" t="s">
        <v>155</v>
      </c>
      <c r="B12" s="80">
        <f>'Hull RM''s'!D27</f>
        <v>43.484113919701294</v>
      </c>
      <c r="C12" s="242"/>
      <c r="D12" s="69"/>
      <c r="F12" s="82" t="s">
        <v>167</v>
      </c>
      <c r="G12" s="669">
        <f>0.5*('Hull RM''s'!G10+'Hull RM''s'!G12)</f>
        <v>0.11</v>
      </c>
      <c r="J12" s="72" t="s">
        <v>164</v>
      </c>
      <c r="K12" s="667">
        <f>'Hull RM''s'!G28</f>
        <v>0</v>
      </c>
    </row>
    <row r="13" spans="1:14" ht="13.8" thickBot="1" x14ac:dyDescent="0.3">
      <c r="A13" s="73" t="s">
        <v>256</v>
      </c>
      <c r="B13" s="74">
        <f>'Initial Boat Data'!K48</f>
        <v>53</v>
      </c>
      <c r="C13" s="243" t="s">
        <v>166</v>
      </c>
      <c r="D13" s="81">
        <f>((B6/(G4/1000))^0.333)/B5</f>
        <v>0.16778221638771812</v>
      </c>
      <c r="F13" s="70" t="s">
        <v>155</v>
      </c>
      <c r="G13" s="71">
        <f>2*G10*G11</f>
        <v>9.5478432613572473</v>
      </c>
      <c r="J13" s="73" t="s">
        <v>165</v>
      </c>
      <c r="K13" s="74">
        <f>0.5*('Hull RM''s'!G24+'Hull RM''s'!G26)</f>
        <v>0</v>
      </c>
    </row>
    <row r="14" spans="1:14" ht="13.8" thickBot="1" x14ac:dyDescent="0.3">
      <c r="A14" s="73" t="s">
        <v>257</v>
      </c>
      <c r="B14" s="74">
        <f>'Initial Boat Data'!L48</f>
        <v>55</v>
      </c>
      <c r="F14" s="73" t="s">
        <v>168</v>
      </c>
      <c r="G14" s="84">
        <f>1+(2*G12)+(60*G12^4)</f>
        <v>1.2287846</v>
      </c>
      <c r="J14" s="82" t="s">
        <v>167</v>
      </c>
      <c r="K14" s="669">
        <f>0.5*('Hull RM''s'!G25+'Hull RM''s'!G27)</f>
        <v>0</v>
      </c>
    </row>
    <row r="15" spans="1:14" x14ac:dyDescent="0.25">
      <c r="A15" s="79" t="s">
        <v>258</v>
      </c>
      <c r="B15" s="670">
        <f>B5*B13/100</f>
        <v>7.8174999999999999</v>
      </c>
      <c r="C15" s="83"/>
      <c r="D15" s="83"/>
      <c r="F15" s="73" t="s">
        <v>169</v>
      </c>
      <c r="G15" s="245">
        <f>'Hull RM''s'!G14</f>
        <v>0.7432292455806212</v>
      </c>
      <c r="J15" s="70" t="s">
        <v>155</v>
      </c>
      <c r="K15" s="71">
        <f>2*K12*K13</f>
        <v>0</v>
      </c>
    </row>
    <row r="16" spans="1:14" ht="13.8" thickBot="1" x14ac:dyDescent="0.3">
      <c r="A16" s="79" t="s">
        <v>259</v>
      </c>
      <c r="B16" s="670">
        <f>B5*B14/100</f>
        <v>8.1125000000000007</v>
      </c>
      <c r="C16" s="83"/>
      <c r="D16" s="83"/>
      <c r="F16" s="75" t="s">
        <v>170</v>
      </c>
      <c r="G16" s="244">
        <f>-'Hull RM''s'!D39</f>
        <v>1.5972679698303842</v>
      </c>
      <c r="J16" s="73" t="s">
        <v>168</v>
      </c>
      <c r="K16" s="84">
        <f>1+(2*K14)+(60*K14^4)</f>
        <v>1</v>
      </c>
    </row>
    <row r="17" spans="1:11" ht="13.5" customHeight="1" thickBot="1" x14ac:dyDescent="0.3">
      <c r="A17" s="75" t="s">
        <v>260</v>
      </c>
      <c r="B17" s="216">
        <f>'Hull RM''s'!D26</f>
        <v>38.69214094270113</v>
      </c>
      <c r="C17" s="83"/>
      <c r="D17" s="83"/>
      <c r="J17" s="73" t="s">
        <v>261</v>
      </c>
      <c r="K17" s="69">
        <f>'Hull RM''s'!G30</f>
        <v>0</v>
      </c>
    </row>
    <row r="18" spans="1:11" ht="13.8" thickBot="1" x14ac:dyDescent="0.3">
      <c r="J18" s="75" t="s">
        <v>262</v>
      </c>
      <c r="K18" s="78">
        <f>'Hull RM''s'!G28/2</f>
        <v>0</v>
      </c>
    </row>
    <row r="19" spans="1:11" x14ac:dyDescent="0.25">
      <c r="J19" s="140"/>
      <c r="K19" s="174"/>
    </row>
    <row r="20" spans="1:11" ht="13.8" thickBot="1" x14ac:dyDescent="0.3">
      <c r="A20" s="86" t="s">
        <v>171</v>
      </c>
      <c r="B20" s="86"/>
      <c r="C20" s="86"/>
      <c r="D20" s="86"/>
      <c r="E20" s="86"/>
      <c r="F20" s="86"/>
      <c r="G20" s="86"/>
      <c r="H20" s="86"/>
      <c r="I20" s="86"/>
      <c r="J20" s="86"/>
    </row>
    <row r="21" spans="1:11" ht="13.8" thickBot="1" x14ac:dyDescent="0.3">
      <c r="A21" s="87" t="s">
        <v>172</v>
      </c>
      <c r="B21" s="88" t="s">
        <v>173</v>
      </c>
      <c r="C21" s="88" t="s">
        <v>174</v>
      </c>
      <c r="D21" s="88" t="s">
        <v>175</v>
      </c>
      <c r="E21" s="88" t="s">
        <v>176</v>
      </c>
      <c r="F21" s="88" t="s">
        <v>177</v>
      </c>
      <c r="G21" s="88" t="s">
        <v>178</v>
      </c>
      <c r="H21" s="88" t="s">
        <v>179</v>
      </c>
      <c r="I21" s="88" t="s">
        <v>180</v>
      </c>
      <c r="J21" s="89" t="s">
        <v>181</v>
      </c>
    </row>
    <row r="22" spans="1:11" x14ac:dyDescent="0.25">
      <c r="A22" s="90">
        <v>0.1</v>
      </c>
      <c r="B22" s="91">
        <v>-1.4E-3</v>
      </c>
      <c r="C22" s="91">
        <v>4.0300000000000002E-2</v>
      </c>
      <c r="D22" s="91">
        <v>4.7E-2</v>
      </c>
      <c r="E22" s="91">
        <v>-2.2700000000000001E-2</v>
      </c>
      <c r="F22" s="91">
        <v>-1.1900000000000001E-2</v>
      </c>
      <c r="G22" s="91">
        <v>6.1000000000000004E-3</v>
      </c>
      <c r="H22" s="91">
        <v>-8.6E-3</v>
      </c>
      <c r="I22" s="91">
        <v>-3.0700000000000002E-2</v>
      </c>
      <c r="J22" s="92">
        <v>-5.5300000000000002E-2</v>
      </c>
    </row>
    <row r="23" spans="1:11" x14ac:dyDescent="0.25">
      <c r="A23" s="90">
        <v>0.15</v>
      </c>
      <c r="B23" s="91">
        <v>4.0000000000000002E-4</v>
      </c>
      <c r="C23" s="91">
        <v>-0.18079999999999999</v>
      </c>
      <c r="D23" s="91">
        <v>0.17929999999999999</v>
      </c>
      <c r="E23" s="91">
        <v>-4.0000000000000002E-4</v>
      </c>
      <c r="F23" s="91">
        <v>9.7000000000000003E-3</v>
      </c>
      <c r="G23" s="91">
        <v>1.18E-2</v>
      </c>
      <c r="H23" s="91">
        <v>-5.4999999999999997E-3</v>
      </c>
      <c r="I23" s="91">
        <v>0.1721</v>
      </c>
      <c r="J23" s="92">
        <v>-0.17280000000000001</v>
      </c>
    </row>
    <row r="24" spans="1:11" x14ac:dyDescent="0.25">
      <c r="A24" s="90">
        <v>0.2</v>
      </c>
      <c r="B24" s="91">
        <v>1.4E-3</v>
      </c>
      <c r="C24" s="91">
        <v>-0.1071</v>
      </c>
      <c r="D24" s="91">
        <v>6.3700000000000007E-2</v>
      </c>
      <c r="E24" s="91">
        <v>8.9999999999999993E-3</v>
      </c>
      <c r="F24" s="91">
        <v>1.5299999999999999E-2</v>
      </c>
      <c r="G24" s="91">
        <v>1.1000000000000001E-3</v>
      </c>
      <c r="H24" s="91">
        <v>1.1999999999999999E-3</v>
      </c>
      <c r="I24" s="91">
        <v>0.1021</v>
      </c>
      <c r="J24" s="92">
        <v>-6.4799999999999996E-2</v>
      </c>
    </row>
    <row r="25" spans="1:11" x14ac:dyDescent="0.25">
      <c r="A25" s="90">
        <v>0.25</v>
      </c>
      <c r="B25" s="91">
        <v>2.7000000000000001E-3</v>
      </c>
      <c r="C25" s="91">
        <v>4.6300000000000001E-2</v>
      </c>
      <c r="D25" s="91">
        <v>-0.1263</v>
      </c>
      <c r="E25" s="91">
        <v>1.4999999999999999E-2</v>
      </c>
      <c r="F25" s="91">
        <v>2.7400000000000001E-2</v>
      </c>
      <c r="G25" s="91">
        <v>-2.9899999999999999E-2</v>
      </c>
      <c r="H25" s="91">
        <v>1.0999999999999999E-2</v>
      </c>
      <c r="I25" s="91">
        <v>-5.9499999999999997E-2</v>
      </c>
      <c r="J25" s="92">
        <v>0.122</v>
      </c>
    </row>
    <row r="26" spans="1:11" x14ac:dyDescent="0.25">
      <c r="A26" s="90">
        <v>0.3</v>
      </c>
      <c r="B26" s="91">
        <v>5.5999999999999999E-3</v>
      </c>
      <c r="C26" s="91">
        <v>-0.80049999999999999</v>
      </c>
      <c r="D26" s="91">
        <v>0.48909999999999998</v>
      </c>
      <c r="E26" s="91">
        <v>2.69E-2</v>
      </c>
      <c r="F26" s="91">
        <v>5.1900000000000002E-2</v>
      </c>
      <c r="G26" s="91">
        <v>-3.1300000000000001E-2</v>
      </c>
      <c r="H26" s="91">
        <v>2.92E-2</v>
      </c>
      <c r="I26" s="91">
        <v>0.73140000000000005</v>
      </c>
      <c r="J26" s="92">
        <v>-0.3619</v>
      </c>
    </row>
    <row r="27" spans="1:11" x14ac:dyDescent="0.25">
      <c r="A27" s="90">
        <v>0.35</v>
      </c>
      <c r="B27" s="91">
        <v>3.2000000000000002E-3</v>
      </c>
      <c r="C27" s="91">
        <v>-0.1011</v>
      </c>
      <c r="D27" s="91">
        <v>-8.1299999999999997E-2</v>
      </c>
      <c r="E27" s="91">
        <v>-3.8199999999999998E-2</v>
      </c>
      <c r="F27" s="91">
        <v>3.2000000000000001E-2</v>
      </c>
      <c r="G27" s="91">
        <v>-0.14810000000000001</v>
      </c>
      <c r="H27" s="91">
        <v>8.3699999999999997E-2</v>
      </c>
      <c r="I27" s="91">
        <v>2.23E-2</v>
      </c>
      <c r="J27" s="92">
        <v>0.15870000000000001</v>
      </c>
    </row>
    <row r="28" spans="1:11" x14ac:dyDescent="0.25">
      <c r="A28" s="90">
        <v>0.4</v>
      </c>
      <c r="B28" s="91">
        <v>-6.4000000000000003E-3</v>
      </c>
      <c r="C28" s="91">
        <v>2.3094999999999999</v>
      </c>
      <c r="D28" s="91">
        <v>-1.5152000000000001</v>
      </c>
      <c r="E28" s="91">
        <v>7.51E-2</v>
      </c>
      <c r="F28" s="91">
        <v>-8.5800000000000001E-2</v>
      </c>
      <c r="G28" s="91">
        <v>-0.53490000000000004</v>
      </c>
      <c r="H28" s="91">
        <v>0.17150000000000001</v>
      </c>
      <c r="I28" s="91">
        <v>-2.4550000000000001</v>
      </c>
      <c r="J28" s="92">
        <v>1.1865000000000001</v>
      </c>
    </row>
    <row r="29" spans="1:11" x14ac:dyDescent="0.25">
      <c r="A29" s="90">
        <v>0.45</v>
      </c>
      <c r="B29" s="91">
        <v>-1.7100000000000001E-2</v>
      </c>
      <c r="C29" s="91">
        <v>3.4016999999999999</v>
      </c>
      <c r="D29" s="91">
        <v>-1.9862</v>
      </c>
      <c r="E29" s="91">
        <v>0.32419999999999999</v>
      </c>
      <c r="F29" s="91">
        <v>-0.14499999999999999</v>
      </c>
      <c r="G29" s="91">
        <v>-0.80430000000000001</v>
      </c>
      <c r="H29" s="91">
        <v>0.29520000000000002</v>
      </c>
      <c r="I29" s="91">
        <v>-3.5284</v>
      </c>
      <c r="J29" s="92">
        <v>1.3574999999999999</v>
      </c>
    </row>
    <row r="30" spans="1:11" x14ac:dyDescent="0.25">
      <c r="A30" s="90">
        <v>0.5</v>
      </c>
      <c r="B30" s="91">
        <v>-2.01E-2</v>
      </c>
      <c r="C30" s="91">
        <v>7.1576000000000004</v>
      </c>
      <c r="D30" s="91">
        <v>-6.3304</v>
      </c>
      <c r="E30" s="91">
        <v>0.58289999999999997</v>
      </c>
      <c r="F30" s="91">
        <v>0.16300000000000001</v>
      </c>
      <c r="G30" s="91">
        <v>-0.39660000000000001</v>
      </c>
      <c r="H30" s="91">
        <v>0.50229999999999997</v>
      </c>
      <c r="I30" s="91">
        <v>-7.1578999999999997</v>
      </c>
      <c r="J30" s="92">
        <v>5.2534000000000001</v>
      </c>
    </row>
    <row r="31" spans="1:11" x14ac:dyDescent="0.25">
      <c r="A31" s="90">
        <v>0.55000000000000004</v>
      </c>
      <c r="B31" s="91">
        <v>4.9500000000000002E-2</v>
      </c>
      <c r="C31" s="91">
        <v>1.5618000000000001</v>
      </c>
      <c r="D31" s="91">
        <v>-6.0660999999999996</v>
      </c>
      <c r="E31" s="91">
        <v>0.86409999999999998</v>
      </c>
      <c r="F31" s="91">
        <v>1.1701999999999999</v>
      </c>
      <c r="G31" s="91">
        <v>1.7609999999999999</v>
      </c>
      <c r="H31" s="91">
        <v>0.91759999999999997</v>
      </c>
      <c r="I31" s="91">
        <v>-2.1191</v>
      </c>
      <c r="J31" s="92">
        <v>5.4280999999999997</v>
      </c>
    </row>
    <row r="32" spans="1:11" ht="13.8" thickBot="1" x14ac:dyDescent="0.3">
      <c r="A32" s="93">
        <v>0.6</v>
      </c>
      <c r="B32" s="94">
        <v>8.0799999999999997E-2</v>
      </c>
      <c r="C32" s="94">
        <v>-5.3232999999999997</v>
      </c>
      <c r="D32" s="94">
        <v>-1.1513</v>
      </c>
      <c r="E32" s="94">
        <v>0.96630000000000005</v>
      </c>
      <c r="F32" s="94">
        <v>1.6084000000000001</v>
      </c>
      <c r="G32" s="94">
        <v>2.7458999999999998</v>
      </c>
      <c r="H32" s="94">
        <v>0.84909999999999997</v>
      </c>
      <c r="I32" s="94">
        <v>4.7129000000000003</v>
      </c>
      <c r="J32" s="95">
        <v>1.1089</v>
      </c>
    </row>
    <row r="34" spans="1:23" ht="13.8" thickBot="1" x14ac:dyDescent="0.3"/>
    <row r="35" spans="1:23" ht="13.8" thickBot="1" x14ac:dyDescent="0.3">
      <c r="A35" s="96" t="s">
        <v>182</v>
      </c>
      <c r="B35" s="97"/>
      <c r="C35" s="97"/>
      <c r="D35" s="97"/>
      <c r="E35" s="97"/>
      <c r="F35" s="97"/>
      <c r="G35" s="97"/>
      <c r="H35" s="97"/>
      <c r="I35" s="97"/>
      <c r="J35" s="98"/>
    </row>
    <row r="36" spans="1:23" ht="13.8" thickBot="1" x14ac:dyDescent="0.3">
      <c r="A36" s="99" t="s">
        <v>183</v>
      </c>
      <c r="B36" s="88">
        <v>0.2</v>
      </c>
      <c r="C36" s="88">
        <v>0.25</v>
      </c>
      <c r="D36" s="88">
        <v>0.3</v>
      </c>
      <c r="E36" s="88">
        <v>0.35</v>
      </c>
      <c r="F36" s="88">
        <v>0.4</v>
      </c>
      <c r="G36" s="88">
        <v>0.45</v>
      </c>
      <c r="H36" s="88">
        <v>0.5</v>
      </c>
      <c r="I36" s="88">
        <v>0.55000000000000004</v>
      </c>
      <c r="J36" s="89">
        <v>0.6</v>
      </c>
    </row>
    <row r="37" spans="1:23" x14ac:dyDescent="0.25">
      <c r="A37" s="100" t="s">
        <v>184</v>
      </c>
      <c r="B37" s="91">
        <v>-1.0399999999999999E-3</v>
      </c>
      <c r="C37" s="91">
        <v>-5.4999999999999997E-3</v>
      </c>
      <c r="D37" s="91">
        <v>-1.11E-2</v>
      </c>
      <c r="E37" s="91">
        <v>-7.1300000000000001E-3</v>
      </c>
      <c r="F37" s="91">
        <v>-3.5810000000000002E-2</v>
      </c>
      <c r="G37" s="91">
        <v>-4.7000000000000002E-3</v>
      </c>
      <c r="H37" s="91">
        <v>5.5300000000000002E-3</v>
      </c>
      <c r="I37" s="91">
        <v>4.8219999999999999E-2</v>
      </c>
      <c r="J37" s="92">
        <v>1.021E-2</v>
      </c>
    </row>
    <row r="38" spans="1:23" x14ac:dyDescent="0.25">
      <c r="A38" s="100" t="s">
        <v>185</v>
      </c>
      <c r="B38" s="91">
        <v>1.72E-3</v>
      </c>
      <c r="C38" s="91">
        <v>5.9699999999999996E-3</v>
      </c>
      <c r="D38" s="91">
        <v>1.421E-2</v>
      </c>
      <c r="E38" s="91">
        <v>2.632E-2</v>
      </c>
      <c r="F38" s="91">
        <v>8.6489999999999997E-2</v>
      </c>
      <c r="G38" s="91">
        <v>0.11592</v>
      </c>
      <c r="H38" s="91">
        <v>7.3709999999999998E-2</v>
      </c>
      <c r="I38" s="91">
        <v>6.6E-3</v>
      </c>
      <c r="J38" s="92">
        <v>0.14172999999999999</v>
      </c>
    </row>
    <row r="39" spans="1:23" x14ac:dyDescent="0.25">
      <c r="A39" s="100" t="s">
        <v>186</v>
      </c>
      <c r="B39" s="91">
        <v>1.17E-3</v>
      </c>
      <c r="C39" s="91">
        <v>3.8999999999999998E-3</v>
      </c>
      <c r="D39" s="91">
        <v>6.8999999999999997E-4</v>
      </c>
      <c r="E39" s="91">
        <v>-2.32E-3</v>
      </c>
      <c r="F39" s="91">
        <v>9.9900000000000006E-3</v>
      </c>
      <c r="G39" s="91">
        <v>-6.4000000000000005E-4</v>
      </c>
      <c r="H39" s="91">
        <v>5.9909999999999998E-2</v>
      </c>
      <c r="I39" s="91">
        <v>7.0480000000000001E-2</v>
      </c>
      <c r="J39" s="92">
        <v>6.4089999999999994E-2</v>
      </c>
    </row>
    <row r="40" spans="1:23" ht="13.8" thickBot="1" x14ac:dyDescent="0.3">
      <c r="A40" s="101" t="s">
        <v>187</v>
      </c>
      <c r="B40" s="94">
        <v>-8.0000000000000007E-5</v>
      </c>
      <c r="C40" s="94">
        <v>-9.0000000000000006E-5</v>
      </c>
      <c r="D40" s="94">
        <v>2.1000000000000001E-4</v>
      </c>
      <c r="E40" s="94">
        <v>3.8999999999999999E-4</v>
      </c>
      <c r="F40" s="94">
        <v>1.7000000000000001E-4</v>
      </c>
      <c r="G40" s="94">
        <v>3.5E-4</v>
      </c>
      <c r="H40" s="94">
        <v>-1.14E-3</v>
      </c>
      <c r="I40" s="94">
        <v>-3.5E-4</v>
      </c>
      <c r="J40" s="95">
        <v>-1.92E-3</v>
      </c>
    </row>
    <row r="43" spans="1:23" x14ac:dyDescent="0.25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</row>
    <row r="44" spans="1:23" ht="13.8" thickBot="1" x14ac:dyDescent="0.3"/>
    <row r="45" spans="1:23" ht="13.8" thickBot="1" x14ac:dyDescent="0.3">
      <c r="A45" s="103" t="s">
        <v>188</v>
      </c>
      <c r="B45" s="104"/>
      <c r="C45" s="105"/>
    </row>
    <row r="46" spans="1:23" ht="13.8" thickBot="1" x14ac:dyDescent="0.3"/>
    <row r="47" spans="1:23" ht="13.8" thickBot="1" x14ac:dyDescent="0.3">
      <c r="A47" s="106" t="s">
        <v>189</v>
      </c>
      <c r="B47" s="107" t="s">
        <v>190</v>
      </c>
      <c r="C47" s="107" t="s">
        <v>191</v>
      </c>
      <c r="D47" s="107" t="s">
        <v>192</v>
      </c>
      <c r="E47" s="107" t="s">
        <v>193</v>
      </c>
      <c r="F47" s="107" t="s">
        <v>194</v>
      </c>
      <c r="G47" s="107" t="s">
        <v>195</v>
      </c>
      <c r="H47" s="108" t="s">
        <v>196</v>
      </c>
      <c r="I47" s="107" t="s">
        <v>197</v>
      </c>
      <c r="J47" s="107" t="s">
        <v>198</v>
      </c>
      <c r="K47" s="108" t="s">
        <v>199</v>
      </c>
      <c r="L47" s="108" t="s">
        <v>200</v>
      </c>
      <c r="M47" s="107" t="s">
        <v>201</v>
      </c>
      <c r="N47" s="107" t="s">
        <v>202</v>
      </c>
      <c r="O47" s="109" t="s">
        <v>203</v>
      </c>
      <c r="P47" s="106" t="s">
        <v>267</v>
      </c>
      <c r="Q47" s="107" t="s">
        <v>268</v>
      </c>
      <c r="R47" s="109" t="s">
        <v>269</v>
      </c>
      <c r="S47" s="107" t="s">
        <v>270</v>
      </c>
      <c r="T47" s="107" t="s">
        <v>271</v>
      </c>
      <c r="U47" s="109" t="s">
        <v>272</v>
      </c>
      <c r="V47" s="110" t="s">
        <v>189</v>
      </c>
      <c r="W47" s="111" t="s">
        <v>273</v>
      </c>
    </row>
    <row r="48" spans="1:23" x14ac:dyDescent="0.25">
      <c r="A48" s="112">
        <f t="shared" ref="A48:A58" si="0">A22</f>
        <v>0.1</v>
      </c>
      <c r="B48" s="113">
        <f t="shared" ref="B48:B58" si="1">A48*(9.81*$B$5)^0.5</f>
        <v>1.2029027392104485</v>
      </c>
      <c r="C48" s="114">
        <f t="shared" ref="C48:C58" si="2">B22+((C22*$D$3)+(D22*$D$4)+(E22*$D$5)+(F22*$D$6)+(G22*$D$8)+(H22*$D$9)+(I22*$D$10)+(J22*$D$11))*$D$13</f>
        <v>-1.3534309695258529E-4</v>
      </c>
      <c r="D48" s="113">
        <f t="shared" ref="D48:D58" si="3">C48*$B$6*9810</f>
        <v>-20.683528092145629</v>
      </c>
      <c r="E48" s="115">
        <f t="shared" ref="E48:E58" si="4">$G$4*$B$5*$G$6*B48/$G$5</f>
        <v>10697873.993198805</v>
      </c>
      <c r="F48" s="114">
        <f t="shared" ref="F48:F58" si="5">0.075/(LOG10(E48)-2)^2</f>
        <v>2.9651496328134989E-3</v>
      </c>
      <c r="G48" s="113">
        <f t="shared" ref="G48:G58" si="6">0.5*$G$4*$B$12*B48^2*F48</f>
        <v>95.61634460412715</v>
      </c>
      <c r="H48" s="116">
        <f t="shared" ref="H48:H58" si="7">D48+G48</f>
        <v>74.932816511981514</v>
      </c>
      <c r="I48" s="115">
        <f t="shared" ref="I48:I58" si="8">$G$4*$G$11*B48/$G$5</f>
        <v>2194785.7729855063</v>
      </c>
      <c r="J48" s="114">
        <f t="shared" ref="J48:J58" si="9">0.075/(LOG10(I48)-2)^2</f>
        <v>3.9792683975631406E-3</v>
      </c>
      <c r="K48" s="117">
        <f t="shared" ref="K48:K58" si="10">J48*$G$14*0.5*$G$4*$G$13*B48^2</f>
        <v>34.620965170943954</v>
      </c>
      <c r="L48" s="125">
        <v>0</v>
      </c>
      <c r="M48" s="115">
        <f t="shared" ref="M48:M58" si="11">$G$4*$N$4*B48/$G$5</f>
        <v>2880396.0969581287</v>
      </c>
      <c r="N48" s="114">
        <f t="shared" ref="N48:N58" si="12">0.075/(LOG10(M48)-2)^2</f>
        <v>3.7713621176087204E-3</v>
      </c>
      <c r="O48" s="118">
        <f t="shared" ref="O48:O58" si="13">N48*$N$7*0.5*$G$4*$N$6*B48^2</f>
        <v>16.884519079528076</v>
      </c>
      <c r="P48" s="247"/>
      <c r="Q48" s="114"/>
      <c r="R48" s="118"/>
      <c r="S48" s="250">
        <f t="shared" ref="S48:S58" si="14">$G$4*$K$5*B48/$G$5</f>
        <v>1152689.1318370923</v>
      </c>
      <c r="T48" s="251">
        <f t="shared" ref="T48:T58" si="15">0.075/(LOG10(S48)-2)^2</f>
        <v>4.5461417063998432E-3</v>
      </c>
      <c r="U48" s="252">
        <f t="shared" ref="U48:U58" si="16">T48*$K$8*0.5*$G$4*$K$7*B48^2</f>
        <v>18.458044472543541</v>
      </c>
      <c r="V48" s="253">
        <f t="shared" ref="V48:V58" si="17">A48</f>
        <v>0.1</v>
      </c>
      <c r="W48" s="254">
        <f t="shared" ref="W48:W58" si="18">H48+K48+L48+O48+R48+U48</f>
        <v>144.89634523499709</v>
      </c>
    </row>
    <row r="49" spans="1:23" x14ac:dyDescent="0.25">
      <c r="A49" s="120">
        <f t="shared" si="0"/>
        <v>0.15</v>
      </c>
      <c r="B49" s="121">
        <f t="shared" si="1"/>
        <v>1.8043541088156727</v>
      </c>
      <c r="C49" s="122">
        <f t="shared" si="2"/>
        <v>-1.5361043911563165E-6</v>
      </c>
      <c r="D49" s="121">
        <f t="shared" si="3"/>
        <v>-0.23475196772008716</v>
      </c>
      <c r="E49" s="123">
        <f t="shared" si="4"/>
        <v>16046810.989798207</v>
      </c>
      <c r="F49" s="122">
        <f t="shared" si="5"/>
        <v>2.7679288813912272E-3</v>
      </c>
      <c r="G49" s="121">
        <f t="shared" si="6"/>
        <v>200.82740087599447</v>
      </c>
      <c r="H49" s="124">
        <f t="shared" si="7"/>
        <v>200.59264890827438</v>
      </c>
      <c r="I49" s="123">
        <f t="shared" si="8"/>
        <v>3292178.6594782588</v>
      </c>
      <c r="J49" s="122">
        <f t="shared" si="9"/>
        <v>3.6750913070460723E-3</v>
      </c>
      <c r="K49" s="125">
        <f t="shared" si="10"/>
        <v>71.942676320400054</v>
      </c>
      <c r="L49" s="125">
        <v>0</v>
      </c>
      <c r="M49" s="123">
        <f t="shared" si="11"/>
        <v>4320594.1454371922</v>
      </c>
      <c r="N49" s="122">
        <f t="shared" si="12"/>
        <v>3.4902774129945986E-3</v>
      </c>
      <c r="O49" s="126">
        <f t="shared" si="13"/>
        <v>35.158709480361161</v>
      </c>
      <c r="P49" s="247"/>
      <c r="Q49" s="122"/>
      <c r="R49" s="118"/>
      <c r="S49" s="247">
        <f t="shared" si="14"/>
        <v>1729033.6977556383</v>
      </c>
      <c r="T49" s="122">
        <f t="shared" si="15"/>
        <v>4.1761841569039069E-3</v>
      </c>
      <c r="U49" s="118">
        <f t="shared" si="16"/>
        <v>38.150908003282062</v>
      </c>
      <c r="V49" s="127">
        <f t="shared" si="17"/>
        <v>0.15</v>
      </c>
      <c r="W49" s="119">
        <f t="shared" si="18"/>
        <v>345.84494271231762</v>
      </c>
    </row>
    <row r="50" spans="1:23" x14ac:dyDescent="0.25">
      <c r="A50" s="120">
        <f t="shared" si="0"/>
        <v>0.2</v>
      </c>
      <c r="B50" s="121">
        <f t="shared" si="1"/>
        <v>2.4058054784208971</v>
      </c>
      <c r="C50" s="122">
        <f t="shared" si="2"/>
        <v>4.0325786190237908E-4</v>
      </c>
      <c r="D50" s="121">
        <f t="shared" si="3"/>
        <v>61.627046394235151</v>
      </c>
      <c r="E50" s="123">
        <f t="shared" si="4"/>
        <v>21395747.986397609</v>
      </c>
      <c r="F50" s="122">
        <f t="shared" si="5"/>
        <v>2.6396933667822294E-3</v>
      </c>
      <c r="G50" s="121">
        <f t="shared" si="6"/>
        <v>340.48579243940435</v>
      </c>
      <c r="H50" s="124">
        <f t="shared" si="7"/>
        <v>402.1128388336395</v>
      </c>
      <c r="I50" s="123">
        <f t="shared" si="8"/>
        <v>4389571.5459710127</v>
      </c>
      <c r="J50" s="122">
        <f t="shared" si="9"/>
        <v>3.4799420141225445E-3</v>
      </c>
      <c r="K50" s="125">
        <f t="shared" si="10"/>
        <v>121.10663491974668</v>
      </c>
      <c r="L50" s="125">
        <f>($G$15*$G$4*9.81)*(B37+(B38*($B$11+$G$10)/$B$7)+(B39*($B$11+$G$16)/$G$15^0.333)+(B40*($B$6*1000/$G$4)/$G$15))</f>
        <v>11.743950653097501</v>
      </c>
      <c r="M50" s="123">
        <f t="shared" si="11"/>
        <v>5760792.1939162575</v>
      </c>
      <c r="N50" s="122">
        <f t="shared" si="12"/>
        <v>3.3094770246411801E-3</v>
      </c>
      <c r="O50" s="126">
        <f t="shared" si="13"/>
        <v>59.266573957363228</v>
      </c>
      <c r="P50" s="247"/>
      <c r="Q50" s="122"/>
      <c r="R50" s="118"/>
      <c r="S50" s="247">
        <f t="shared" si="14"/>
        <v>2305378.2636741847</v>
      </c>
      <c r="T50" s="122">
        <f t="shared" si="15"/>
        <v>3.9404168098780851E-3</v>
      </c>
      <c r="U50" s="118">
        <f t="shared" si="16"/>
        <v>63.994827626863142</v>
      </c>
      <c r="V50" s="127">
        <f t="shared" si="17"/>
        <v>0.2</v>
      </c>
      <c r="W50" s="119">
        <f t="shared" si="18"/>
        <v>658.22482599071009</v>
      </c>
    </row>
    <row r="51" spans="1:23" x14ac:dyDescent="0.25">
      <c r="A51" s="120">
        <f t="shared" si="0"/>
        <v>0.25</v>
      </c>
      <c r="B51" s="121">
        <f t="shared" si="1"/>
        <v>3.0072568480261213</v>
      </c>
      <c r="C51" s="122">
        <f t="shared" si="2"/>
        <v>1.2542235692123082E-3</v>
      </c>
      <c r="D51" s="121">
        <f t="shared" si="3"/>
        <v>191.67411572325778</v>
      </c>
      <c r="E51" s="123">
        <f t="shared" si="4"/>
        <v>26744684.982997011</v>
      </c>
      <c r="F51" s="122">
        <f t="shared" si="5"/>
        <v>2.5462650642728078E-3</v>
      </c>
      <c r="G51" s="121">
        <f t="shared" si="6"/>
        <v>513.17932479841249</v>
      </c>
      <c r="H51" s="124">
        <f t="shared" si="7"/>
        <v>704.85344052167034</v>
      </c>
      <c r="I51" s="123">
        <f t="shared" si="8"/>
        <v>5486964.4324637651</v>
      </c>
      <c r="J51" s="122">
        <f t="shared" si="9"/>
        <v>3.3390811265391123E-3</v>
      </c>
      <c r="K51" s="125">
        <f t="shared" si="10"/>
        <v>181.56951202333508</v>
      </c>
      <c r="L51" s="125">
        <f>($G$15*$G$4*9.81)*(C37+(C38*($B$11+$G$10)/$B$7)+(C39*($B$11+$G$16)/$G$15^0.333)+(C40*($B$6*1000/$G$4)/$G$15))</f>
        <v>52.280549762236795</v>
      </c>
      <c r="M51" s="123">
        <f t="shared" si="11"/>
        <v>7200990.2423953209</v>
      </c>
      <c r="N51" s="122">
        <f t="shared" si="12"/>
        <v>3.1787393431610815E-3</v>
      </c>
      <c r="O51" s="126">
        <f t="shared" si="13"/>
        <v>88.945789701972615</v>
      </c>
      <c r="P51" s="247"/>
      <c r="Q51" s="122"/>
      <c r="R51" s="118"/>
      <c r="S51" s="247">
        <f t="shared" si="14"/>
        <v>2881722.8295927308</v>
      </c>
      <c r="T51" s="122">
        <f t="shared" si="15"/>
        <v>3.7710238713434857E-3</v>
      </c>
      <c r="U51" s="118">
        <f t="shared" si="16"/>
        <v>95.693407206012921</v>
      </c>
      <c r="V51" s="127">
        <f t="shared" si="17"/>
        <v>0.25</v>
      </c>
      <c r="W51" s="119">
        <f t="shared" si="18"/>
        <v>1123.3426992152276</v>
      </c>
    </row>
    <row r="52" spans="1:23" x14ac:dyDescent="0.25">
      <c r="A52" s="120">
        <f t="shared" si="0"/>
        <v>0.3</v>
      </c>
      <c r="B52" s="121">
        <f t="shared" si="1"/>
        <v>3.6087082176313454</v>
      </c>
      <c r="C52" s="122">
        <f t="shared" si="2"/>
        <v>2.8039110920390826E-3</v>
      </c>
      <c r="D52" s="121">
        <f t="shared" si="3"/>
        <v>428.50189736966325</v>
      </c>
      <c r="E52" s="123">
        <f t="shared" si="4"/>
        <v>32093621.979596414</v>
      </c>
      <c r="F52" s="122">
        <f t="shared" si="5"/>
        <v>2.4735619708906552E-3</v>
      </c>
      <c r="G52" s="121">
        <f t="shared" si="6"/>
        <v>717.87830223439789</v>
      </c>
      <c r="H52" s="124">
        <f t="shared" si="7"/>
        <v>1146.3801996040611</v>
      </c>
      <c r="I52" s="123">
        <f t="shared" si="8"/>
        <v>6584357.3189565176</v>
      </c>
      <c r="J52" s="122">
        <f t="shared" si="9"/>
        <v>3.2302424706622005E-3</v>
      </c>
      <c r="K52" s="125">
        <f t="shared" si="10"/>
        <v>252.93770313429306</v>
      </c>
      <c r="L52" s="125">
        <f>($G$15*$G$4*9.81)*(D37+(D38*($B$11+$G$10)/$B$7)+(D39*($B$11+$G$16)/$G$15^0.333)+(D40*($B$6*1000/$G$4)/$G$15))</f>
        <v>42.078392211383651</v>
      </c>
      <c r="M52" s="123">
        <f t="shared" si="11"/>
        <v>8641188.2908743843</v>
      </c>
      <c r="N52" s="122">
        <f t="shared" si="12"/>
        <v>3.0775849805753691E-3</v>
      </c>
      <c r="O52" s="126">
        <f t="shared" si="13"/>
        <v>124.00609284559444</v>
      </c>
      <c r="P52" s="247"/>
      <c r="Q52" s="122"/>
      <c r="R52" s="118"/>
      <c r="S52" s="247">
        <f t="shared" si="14"/>
        <v>3458067.3955112766</v>
      </c>
      <c r="T52" s="122">
        <f t="shared" si="15"/>
        <v>3.6405983600152126E-3</v>
      </c>
      <c r="U52" s="118">
        <f t="shared" si="16"/>
        <v>133.03257508913134</v>
      </c>
      <c r="V52" s="127">
        <f t="shared" si="17"/>
        <v>0.3</v>
      </c>
      <c r="W52" s="119">
        <f t="shared" si="18"/>
        <v>1698.4349628844636</v>
      </c>
    </row>
    <row r="53" spans="1:23" x14ac:dyDescent="0.25">
      <c r="A53" s="120">
        <f t="shared" si="0"/>
        <v>0.35</v>
      </c>
      <c r="B53" s="121">
        <f t="shared" si="1"/>
        <v>4.2101595872365696</v>
      </c>
      <c r="C53" s="122">
        <f t="shared" si="2"/>
        <v>6.4137783521216775E-3</v>
      </c>
      <c r="D53" s="121">
        <f t="shared" si="3"/>
        <v>980.17237457909505</v>
      </c>
      <c r="E53" s="123">
        <f t="shared" si="4"/>
        <v>37442558.976195812</v>
      </c>
      <c r="F53" s="122">
        <f t="shared" si="5"/>
        <v>2.414494442107415E-3</v>
      </c>
      <c r="G53" s="121">
        <f t="shared" si="6"/>
        <v>953.77914264899118</v>
      </c>
      <c r="H53" s="124">
        <f t="shared" si="7"/>
        <v>1933.9515172280862</v>
      </c>
      <c r="I53" s="123">
        <f t="shared" si="8"/>
        <v>7681750.205449271</v>
      </c>
      <c r="J53" s="122">
        <f t="shared" si="9"/>
        <v>3.1423192621957952E-3</v>
      </c>
      <c r="K53" s="125">
        <f t="shared" si="10"/>
        <v>334.9055421943483</v>
      </c>
      <c r="L53" s="125">
        <f>($G$15*$G$4*9.81)*(E37+(E38*($B$11+$G$10)/$B$7)+(E39*($B$11+$G$16)/$G$15^0.333)+(E40*($B$6*1000/$G$4)/$G$15))</f>
        <v>110.59695218990426</v>
      </c>
      <c r="M53" s="123">
        <f t="shared" si="11"/>
        <v>10081386.33935345</v>
      </c>
      <c r="N53" s="122">
        <f t="shared" si="12"/>
        <v>2.9957801472763955E-3</v>
      </c>
      <c r="O53" s="126">
        <f t="shared" si="13"/>
        <v>164.29959311721908</v>
      </c>
      <c r="P53" s="247"/>
      <c r="Q53" s="122"/>
      <c r="R53" s="118"/>
      <c r="S53" s="247">
        <f t="shared" si="14"/>
        <v>4034411.9614298227</v>
      </c>
      <c r="T53" s="122">
        <f t="shared" si="15"/>
        <v>3.5355325377488369E-3</v>
      </c>
      <c r="U53" s="118">
        <f t="shared" si="16"/>
        <v>175.84646665749472</v>
      </c>
      <c r="V53" s="127">
        <f t="shared" si="17"/>
        <v>0.35</v>
      </c>
      <c r="W53" s="119">
        <f t="shared" si="18"/>
        <v>2719.6000713870526</v>
      </c>
    </row>
    <row r="54" spans="1:23" x14ac:dyDescent="0.25">
      <c r="A54" s="120">
        <f t="shared" si="0"/>
        <v>0.4</v>
      </c>
      <c r="B54" s="121">
        <f t="shared" si="1"/>
        <v>4.8116109568417942</v>
      </c>
      <c r="C54" s="122">
        <f t="shared" si="2"/>
        <v>1.6597602836941183E-2</v>
      </c>
      <c r="D54" s="121">
        <f t="shared" si="3"/>
        <v>2536.4942303663706</v>
      </c>
      <c r="E54" s="123">
        <f t="shared" si="4"/>
        <v>42791495.972795218</v>
      </c>
      <c r="F54" s="122">
        <f t="shared" si="5"/>
        <v>2.3650213755314303E-3</v>
      </c>
      <c r="G54" s="121">
        <f t="shared" si="6"/>
        <v>1220.2268450074589</v>
      </c>
      <c r="H54" s="124">
        <f t="shared" si="7"/>
        <v>3756.7210753738295</v>
      </c>
      <c r="I54" s="123">
        <f t="shared" si="8"/>
        <v>8779143.0919420253</v>
      </c>
      <c r="J54" s="122">
        <f t="shared" si="9"/>
        <v>3.0690262126413935E-3</v>
      </c>
      <c r="K54" s="125">
        <f t="shared" si="10"/>
        <v>427.22486246623475</v>
      </c>
      <c r="L54" s="125">
        <f>($G$15*$G$4*9.81)*(F37+(F38*($B$11+$G$10)/$B$7)+(F39*($B$11+$G$16)/$G$15^0.333)+(F40*($B$6*1000/$G$4)/$G$15))</f>
        <v>433.25509677612342</v>
      </c>
      <c r="M54" s="123">
        <f t="shared" si="11"/>
        <v>11521584.387832515</v>
      </c>
      <c r="N54" s="122">
        <f t="shared" si="12"/>
        <v>2.9275254992846044E-3</v>
      </c>
      <c r="O54" s="126">
        <f t="shared" si="13"/>
        <v>209.70613208499839</v>
      </c>
      <c r="P54" s="247"/>
      <c r="Q54" s="122"/>
      <c r="R54" s="118"/>
      <c r="S54" s="247">
        <f t="shared" si="14"/>
        <v>4610756.5273483694</v>
      </c>
      <c r="T54" s="122">
        <f t="shared" si="15"/>
        <v>3.4481536249632533E-3</v>
      </c>
      <c r="U54" s="118">
        <f t="shared" si="16"/>
        <v>224.00066541924429</v>
      </c>
      <c r="V54" s="127">
        <f t="shared" si="17"/>
        <v>0.4</v>
      </c>
      <c r="W54" s="119">
        <f t="shared" si="18"/>
        <v>5050.9078321204297</v>
      </c>
    </row>
    <row r="55" spans="1:23" x14ac:dyDescent="0.25">
      <c r="A55" s="120">
        <f t="shared" si="0"/>
        <v>0.45</v>
      </c>
      <c r="B55" s="121">
        <f t="shared" si="1"/>
        <v>5.4130623264470188</v>
      </c>
      <c r="C55" s="122">
        <f t="shared" si="2"/>
        <v>3.4791104960609637E-2</v>
      </c>
      <c r="D55" s="121">
        <f t="shared" si="3"/>
        <v>5316.878459354708</v>
      </c>
      <c r="E55" s="123">
        <f t="shared" si="4"/>
        <v>48140432.969394624</v>
      </c>
      <c r="F55" s="122">
        <f t="shared" si="5"/>
        <v>2.3226343642275579E-3</v>
      </c>
      <c r="G55" s="121">
        <f t="shared" si="6"/>
        <v>1516.6710500407664</v>
      </c>
      <c r="H55" s="124">
        <f t="shared" si="7"/>
        <v>6833.5495093954742</v>
      </c>
      <c r="I55" s="123">
        <f t="shared" si="8"/>
        <v>9876535.9784347787</v>
      </c>
      <c r="J55" s="122">
        <f t="shared" si="9"/>
        <v>3.006484914470049E-3</v>
      </c>
      <c r="K55" s="125">
        <f t="shared" si="10"/>
        <v>529.68783002554017</v>
      </c>
      <c r="L55" s="125">
        <f>($G$15*$G$4*9.81)*(G37+(G38*($B$11+$G$10)/$B$7)+(G39*($B$11+$G$16)/$G$15^0.333)+(G40*($B$6*1000/$G$4)/$G$15))</f>
        <v>658.29509945701761</v>
      </c>
      <c r="M55" s="123">
        <f t="shared" si="11"/>
        <v>12961782.436311578</v>
      </c>
      <c r="N55" s="122">
        <f t="shared" si="12"/>
        <v>2.8692384058622918E-3</v>
      </c>
      <c r="O55" s="126">
        <f t="shared" si="13"/>
        <v>260.12501828486245</v>
      </c>
      <c r="P55" s="247"/>
      <c r="Q55" s="122"/>
      <c r="R55" s="118"/>
      <c r="S55" s="247">
        <f t="shared" si="14"/>
        <v>5187101.0932669165</v>
      </c>
      <c r="T55" s="122">
        <f t="shared" si="15"/>
        <v>3.3737409978752439E-3</v>
      </c>
      <c r="U55" s="118">
        <f t="shared" si="16"/>
        <v>277.38277298344963</v>
      </c>
      <c r="V55" s="127">
        <f t="shared" si="17"/>
        <v>0.45</v>
      </c>
      <c r="W55" s="119">
        <f t="shared" si="18"/>
        <v>8559.0402301463437</v>
      </c>
    </row>
    <row r="56" spans="1:23" x14ac:dyDescent="0.25">
      <c r="A56" s="120">
        <f t="shared" si="0"/>
        <v>0.5</v>
      </c>
      <c r="B56" s="121">
        <f t="shared" si="1"/>
        <v>6.0145136960522425</v>
      </c>
      <c r="C56" s="122">
        <f t="shared" si="2"/>
        <v>5.5228684429909726E-2</v>
      </c>
      <c r="D56" s="121">
        <f t="shared" si="3"/>
        <v>8440.2091545051153</v>
      </c>
      <c r="E56" s="123">
        <f t="shared" si="4"/>
        <v>53489369.965994023</v>
      </c>
      <c r="F56" s="122">
        <f t="shared" si="5"/>
        <v>2.2856760882833229E-3</v>
      </c>
      <c r="G56" s="121">
        <f t="shared" si="6"/>
        <v>1842.6388173818823</v>
      </c>
      <c r="H56" s="124">
        <f t="shared" si="7"/>
        <v>10282.847971886997</v>
      </c>
      <c r="I56" s="123">
        <f t="shared" si="8"/>
        <v>10973928.86492753</v>
      </c>
      <c r="J56" s="122">
        <f t="shared" si="9"/>
        <v>2.9521456587300239E-3</v>
      </c>
      <c r="K56" s="125">
        <f t="shared" si="10"/>
        <v>642.11635041403235</v>
      </c>
      <c r="L56" s="125">
        <f>($G$15*$G$4*9.81)*(H37+(H38*($B$11+$G$10)/$B$7)+(H39*($B$11+$G$16)/$G$15^0.333)+(H40*($B$6*1000/$G$4)/$G$15))</f>
        <v>1411.6814788111817</v>
      </c>
      <c r="M56" s="123">
        <f t="shared" si="11"/>
        <v>14401980.484790642</v>
      </c>
      <c r="N56" s="122">
        <f t="shared" si="12"/>
        <v>2.8185613393932156E-3</v>
      </c>
      <c r="O56" s="126">
        <f t="shared" si="13"/>
        <v>315.46992325136375</v>
      </c>
      <c r="P56" s="247"/>
      <c r="Q56" s="122"/>
      <c r="R56" s="118"/>
      <c r="S56" s="247">
        <f t="shared" si="14"/>
        <v>5763445.6591854617</v>
      </c>
      <c r="T56" s="122">
        <f t="shared" si="15"/>
        <v>3.3091989722966193E-3</v>
      </c>
      <c r="U56" s="118">
        <f t="shared" si="16"/>
        <v>335.89660058967672</v>
      </c>
      <c r="V56" s="127">
        <f t="shared" si="17"/>
        <v>0.5</v>
      </c>
      <c r="W56" s="119">
        <f t="shared" si="18"/>
        <v>12988.012324953252</v>
      </c>
    </row>
    <row r="57" spans="1:23" x14ac:dyDescent="0.25">
      <c r="A57" s="120">
        <f t="shared" si="0"/>
        <v>0.55000000000000004</v>
      </c>
      <c r="B57" s="121">
        <f t="shared" si="1"/>
        <v>6.6159650656574671</v>
      </c>
      <c r="C57" s="122">
        <f t="shared" si="2"/>
        <v>6.9126892312892665E-2</v>
      </c>
      <c r="D57" s="121">
        <f t="shared" si="3"/>
        <v>10564.173949539061</v>
      </c>
      <c r="E57" s="123">
        <f t="shared" si="4"/>
        <v>58838306.962593429</v>
      </c>
      <c r="F57" s="122">
        <f t="shared" si="5"/>
        <v>2.2529979438023276E-3</v>
      </c>
      <c r="G57" s="121">
        <f t="shared" si="6"/>
        <v>2197.7166408203398</v>
      </c>
      <c r="H57" s="124">
        <f t="shared" si="7"/>
        <v>12761.8905903594</v>
      </c>
      <c r="I57" s="123">
        <f t="shared" si="8"/>
        <v>12071321.751420284</v>
      </c>
      <c r="J57" s="122">
        <f t="shared" si="9"/>
        <v>2.9042489891053691E-3</v>
      </c>
      <c r="K57" s="125">
        <f t="shared" si="10"/>
        <v>764.35509367111365</v>
      </c>
      <c r="L57" s="125">
        <f>($G$15*$G$4*9.81)*(I37+(I38*($B$11+$G$10)/$B$7)+(I39*($B$11+$G$16)/$G$15^0.333)+(I40*($B$6*1000/$G$4)/$G$15))</f>
        <v>1673.3469397659753</v>
      </c>
      <c r="M57" s="123">
        <f t="shared" si="11"/>
        <v>15842178.533269707</v>
      </c>
      <c r="N57" s="122">
        <f t="shared" si="12"/>
        <v>2.7738661099917131E-3</v>
      </c>
      <c r="O57" s="126">
        <f t="shared" si="13"/>
        <v>375.66551881769874</v>
      </c>
      <c r="P57" s="247"/>
      <c r="Q57" s="122"/>
      <c r="R57" s="118"/>
      <c r="S57" s="247">
        <f t="shared" si="14"/>
        <v>6339790.2251040088</v>
      </c>
      <c r="T57" s="122">
        <f t="shared" si="15"/>
        <v>3.2523959101998399E-3</v>
      </c>
      <c r="U57" s="118">
        <f t="shared" si="16"/>
        <v>399.4583506086816</v>
      </c>
      <c r="V57" s="127">
        <f t="shared" si="17"/>
        <v>0.55000000000000004</v>
      </c>
      <c r="W57" s="119">
        <f t="shared" si="18"/>
        <v>15974.716493222872</v>
      </c>
    </row>
    <row r="58" spans="1:23" ht="13.8" thickBot="1" x14ac:dyDescent="0.3">
      <c r="A58" s="129">
        <f t="shared" si="0"/>
        <v>0.6</v>
      </c>
      <c r="B58" s="130">
        <f t="shared" si="1"/>
        <v>7.2174164352626908</v>
      </c>
      <c r="C58" s="131">
        <f t="shared" si="2"/>
        <v>7.9091775395638581E-2</v>
      </c>
      <c r="D58" s="130">
        <f t="shared" si="3"/>
        <v>12087.036539635754</v>
      </c>
      <c r="E58" s="132">
        <f t="shared" si="4"/>
        <v>64187243.959192827</v>
      </c>
      <c r="F58" s="131">
        <f t="shared" si="5"/>
        <v>2.2237732144403779E-3</v>
      </c>
      <c r="G58" s="130">
        <f t="shared" si="6"/>
        <v>2581.5379740204739</v>
      </c>
      <c r="H58" s="133">
        <f t="shared" si="7"/>
        <v>14668.574513656227</v>
      </c>
      <c r="I58" s="132">
        <f t="shared" si="8"/>
        <v>13168714.637913035</v>
      </c>
      <c r="J58" s="131">
        <f t="shared" si="9"/>
        <v>2.8615333225783862E-3</v>
      </c>
      <c r="K58" s="134">
        <f t="shared" si="10"/>
        <v>896.2666705411026</v>
      </c>
      <c r="L58" s="134">
        <f>($G$15*$G$4*9.81)*(J37+(J38*($B$11+$G$10)/$B$7)+(J39*($B$11+$G$16)/$G$15^0.333)+(J40*($B$6*1000/$G$4)/$G$15))</f>
        <v>1788.8802973016191</v>
      </c>
      <c r="M58" s="132">
        <f t="shared" si="11"/>
        <v>17282376.581748769</v>
      </c>
      <c r="N58" s="131">
        <f t="shared" si="12"/>
        <v>2.7339844057069126E-3</v>
      </c>
      <c r="O58" s="135">
        <f t="shared" si="13"/>
        <v>440.64515026209318</v>
      </c>
      <c r="P58" s="248"/>
      <c r="Q58" s="131"/>
      <c r="R58" s="249"/>
      <c r="S58" s="248">
        <f t="shared" si="14"/>
        <v>6916134.7910225531</v>
      </c>
      <c r="T58" s="131">
        <f t="shared" si="15"/>
        <v>3.2018062349580228E-3</v>
      </c>
      <c r="U58" s="249">
        <f t="shared" si="16"/>
        <v>467.99397928764898</v>
      </c>
      <c r="V58" s="136">
        <f t="shared" si="17"/>
        <v>0.6</v>
      </c>
      <c r="W58" s="255">
        <f t="shared" si="18"/>
        <v>18262.360611048694</v>
      </c>
    </row>
    <row r="59" spans="1:23" x14ac:dyDescent="0.25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</row>
    <row r="60" spans="1:23" x14ac:dyDescent="0.25">
      <c r="A60" s="139"/>
      <c r="B60" s="139"/>
      <c r="C60" s="139"/>
      <c r="D60" s="139"/>
      <c r="E60" s="139"/>
      <c r="F60" s="139"/>
      <c r="G60" s="139"/>
      <c r="H60" s="139"/>
      <c r="I60" s="139"/>
      <c r="J60" s="139"/>
      <c r="K60" s="139"/>
      <c r="L60" s="139"/>
      <c r="M60" s="139"/>
      <c r="N60" s="139"/>
      <c r="O60" s="102"/>
      <c r="P60" s="102"/>
      <c r="Q60" s="102"/>
      <c r="R60" s="102"/>
      <c r="S60" s="102"/>
      <c r="T60" s="102"/>
      <c r="U60" s="102"/>
      <c r="V60" s="102"/>
      <c r="W60" s="102"/>
    </row>
    <row r="61" spans="1:23" ht="13.8" thickBot="1" x14ac:dyDescent="0.3"/>
    <row r="62" spans="1:23" ht="13.8" thickBot="1" x14ac:dyDescent="0.3">
      <c r="A62" s="949" t="s">
        <v>204</v>
      </c>
      <c r="B62" s="950"/>
      <c r="C62" s="951"/>
      <c r="J62" s="140"/>
      <c r="K62" s="140"/>
      <c r="L62" s="140"/>
      <c r="M62" s="140"/>
    </row>
    <row r="63" spans="1:23" x14ac:dyDescent="0.25">
      <c r="A63" s="141" t="s">
        <v>205</v>
      </c>
      <c r="B63" s="142">
        <f>B11/(B11+G10)</f>
        <v>0.23415976389271476</v>
      </c>
      <c r="J63" s="143"/>
      <c r="K63" s="143"/>
      <c r="L63" s="140"/>
      <c r="M63" s="140"/>
    </row>
    <row r="64" spans="1:23" x14ac:dyDescent="0.25">
      <c r="A64" s="68" t="s">
        <v>206</v>
      </c>
      <c r="B64" s="144">
        <f>B7/B11</f>
        <v>5.6742974612346551</v>
      </c>
      <c r="J64" s="145"/>
      <c r="K64" s="145"/>
      <c r="L64" s="146"/>
      <c r="M64" s="140"/>
    </row>
    <row r="65" spans="1:17" ht="13.8" thickBot="1" x14ac:dyDescent="0.3">
      <c r="A65" s="77" t="s">
        <v>207</v>
      </c>
      <c r="B65" s="147">
        <f>0.001*((6.747*B63)+(2.517*B64)+(3.71*B63*B64))</f>
        <v>2.0791530527434599E-2</v>
      </c>
      <c r="C65" s="148"/>
      <c r="D65" s="148"/>
      <c r="J65" s="145"/>
      <c r="K65" s="145"/>
      <c r="L65" s="146"/>
      <c r="M65" s="140"/>
    </row>
    <row r="66" spans="1:17" ht="13.8" thickBot="1" x14ac:dyDescent="0.3">
      <c r="C66" s="76"/>
      <c r="D66" s="76"/>
      <c r="E66" s="76"/>
      <c r="F66" s="76"/>
      <c r="G66" s="76"/>
      <c r="H66" s="76"/>
      <c r="I66" s="76"/>
      <c r="J66" s="145"/>
      <c r="K66" s="145"/>
      <c r="L66" s="146"/>
      <c r="M66" s="143"/>
      <c r="N66" s="76"/>
      <c r="O66" s="76"/>
    </row>
    <row r="67" spans="1:17" ht="13.8" thickBot="1" x14ac:dyDescent="0.3">
      <c r="A67" s="149" t="str">
        <f t="shared" ref="A67:B78" si="19">A47</f>
        <v>Froude No</v>
      </c>
      <c r="B67" s="150" t="str">
        <f t="shared" si="19"/>
        <v>Boat Speed</v>
      </c>
      <c r="C67" s="107" t="s">
        <v>208</v>
      </c>
      <c r="D67" s="151" t="s">
        <v>209</v>
      </c>
      <c r="E67" s="152" t="s">
        <v>210</v>
      </c>
      <c r="F67" s="111" t="s">
        <v>211</v>
      </c>
      <c r="G67" s="76"/>
      <c r="H67" s="76"/>
      <c r="I67" s="76"/>
      <c r="J67" s="145"/>
      <c r="K67" s="145"/>
      <c r="L67" s="146"/>
      <c r="M67" s="143"/>
      <c r="N67" s="76"/>
      <c r="O67" s="76"/>
    </row>
    <row r="68" spans="1:17" x14ac:dyDescent="0.25">
      <c r="A68" s="112">
        <f t="shared" si="19"/>
        <v>0.1</v>
      </c>
      <c r="B68" s="113">
        <f t="shared" si="19"/>
        <v>1.2029027392104485</v>
      </c>
      <c r="C68" s="153">
        <f t="shared" ref="C68:C78" si="20">0.5*$G$4*B68^2*$B$12*$B$65*A68^2</f>
        <v>6.704586256822668</v>
      </c>
      <c r="D68" s="154">
        <f t="shared" ref="D68:D78" si="21">0.174*C68</f>
        <v>1.1665980086871441</v>
      </c>
      <c r="E68" s="154">
        <f t="shared" ref="E68:E78" si="22">2*D68</f>
        <v>2.3331960173742883</v>
      </c>
      <c r="F68" s="119">
        <f t="shared" ref="F68:F78" si="23">3*D68</f>
        <v>3.4997940260614326</v>
      </c>
      <c r="G68" s="76"/>
      <c r="H68" s="76"/>
      <c r="I68" s="76"/>
      <c r="J68" s="145"/>
      <c r="K68" s="145"/>
      <c r="L68" s="146"/>
      <c r="M68" s="143"/>
      <c r="N68" s="76"/>
      <c r="O68" s="76"/>
    </row>
    <row r="69" spans="1:17" x14ac:dyDescent="0.25">
      <c r="A69" s="120">
        <f t="shared" si="19"/>
        <v>0.15</v>
      </c>
      <c r="B69" s="121">
        <f t="shared" si="19"/>
        <v>1.8043541088156727</v>
      </c>
      <c r="C69" s="155">
        <f t="shared" si="20"/>
        <v>33.941967925164747</v>
      </c>
      <c r="D69" s="156">
        <f t="shared" si="21"/>
        <v>5.9059024189786653</v>
      </c>
      <c r="E69" s="156">
        <f t="shared" si="22"/>
        <v>11.811804837957331</v>
      </c>
      <c r="F69" s="128">
        <f t="shared" si="23"/>
        <v>17.717707256935995</v>
      </c>
      <c r="G69" s="76"/>
      <c r="H69" s="76"/>
      <c r="I69" s="76"/>
      <c r="J69" s="145"/>
      <c r="K69" s="145"/>
      <c r="L69" s="146"/>
      <c r="M69" s="143"/>
      <c r="N69" s="76"/>
      <c r="O69" s="76"/>
    </row>
    <row r="70" spans="1:17" x14ac:dyDescent="0.25">
      <c r="A70" s="120">
        <f t="shared" si="19"/>
        <v>0.2</v>
      </c>
      <c r="B70" s="121">
        <f t="shared" si="19"/>
        <v>2.4058054784208971</v>
      </c>
      <c r="C70" s="155">
        <f t="shared" si="20"/>
        <v>107.27338010916269</v>
      </c>
      <c r="D70" s="156">
        <f t="shared" si="21"/>
        <v>18.665568138994306</v>
      </c>
      <c r="E70" s="156">
        <f t="shared" si="22"/>
        <v>37.331136277988612</v>
      </c>
      <c r="F70" s="128">
        <f t="shared" si="23"/>
        <v>55.996704416982922</v>
      </c>
      <c r="G70" s="76"/>
      <c r="H70" s="76"/>
      <c r="I70" s="76"/>
      <c r="J70" s="145"/>
      <c r="K70" s="145"/>
      <c r="L70" s="146"/>
      <c r="M70" s="143"/>
      <c r="N70" s="76"/>
      <c r="O70" s="76"/>
    </row>
    <row r="71" spans="1:17" x14ac:dyDescent="0.25">
      <c r="A71" s="120">
        <f t="shared" si="19"/>
        <v>0.25</v>
      </c>
      <c r="B71" s="121">
        <f t="shared" si="19"/>
        <v>3.0072568480261213</v>
      </c>
      <c r="C71" s="155">
        <f t="shared" si="20"/>
        <v>261.89790065713544</v>
      </c>
      <c r="D71" s="156">
        <f t="shared" si="21"/>
        <v>45.570234714341566</v>
      </c>
      <c r="E71" s="156">
        <f t="shared" si="22"/>
        <v>91.140469428683133</v>
      </c>
      <c r="F71" s="128">
        <f t="shared" si="23"/>
        <v>136.71070414302471</v>
      </c>
      <c r="G71" s="76"/>
      <c r="H71" s="76"/>
      <c r="I71" s="76"/>
      <c r="J71" s="145"/>
      <c r="K71" s="145"/>
      <c r="L71" s="146"/>
      <c r="M71" s="143"/>
      <c r="N71" s="76"/>
      <c r="O71" s="76"/>
    </row>
    <row r="72" spans="1:17" x14ac:dyDescent="0.25">
      <c r="A72" s="120">
        <f t="shared" si="19"/>
        <v>0.3</v>
      </c>
      <c r="B72" s="121">
        <f t="shared" si="19"/>
        <v>3.6087082176313454</v>
      </c>
      <c r="C72" s="155">
        <f t="shared" si="20"/>
        <v>543.07148680263595</v>
      </c>
      <c r="D72" s="156">
        <f t="shared" si="21"/>
        <v>94.494438703658645</v>
      </c>
      <c r="E72" s="156">
        <f t="shared" si="22"/>
        <v>188.98887740731729</v>
      </c>
      <c r="F72" s="128">
        <f t="shared" si="23"/>
        <v>283.48331611097592</v>
      </c>
      <c r="G72" s="76"/>
      <c r="H72" s="76"/>
      <c r="I72" s="76"/>
      <c r="J72" s="143"/>
      <c r="K72" s="143"/>
      <c r="L72" s="143"/>
      <c r="M72" s="143"/>
      <c r="N72" s="76"/>
      <c r="O72" s="76"/>
    </row>
    <row r="73" spans="1:17" x14ac:dyDescent="0.25">
      <c r="A73" s="120">
        <f t="shared" si="19"/>
        <v>0.35</v>
      </c>
      <c r="B73" s="121">
        <f t="shared" si="19"/>
        <v>4.2101595872365696</v>
      </c>
      <c r="C73" s="155">
        <f t="shared" si="20"/>
        <v>1006.1069751644511</v>
      </c>
      <c r="D73" s="156">
        <f t="shared" si="21"/>
        <v>175.06261367861447</v>
      </c>
      <c r="E73" s="156">
        <f t="shared" si="22"/>
        <v>350.12522735722894</v>
      </c>
      <c r="F73" s="128">
        <f t="shared" si="23"/>
        <v>525.18784103584335</v>
      </c>
      <c r="G73" s="76"/>
      <c r="H73" s="76"/>
      <c r="I73" s="76"/>
      <c r="J73" s="76"/>
      <c r="K73" s="76"/>
      <c r="L73" s="76"/>
      <c r="M73" s="76"/>
      <c r="N73" s="76"/>
      <c r="O73" s="76"/>
    </row>
    <row r="74" spans="1:17" x14ac:dyDescent="0.25">
      <c r="A74" s="120">
        <f t="shared" si="19"/>
        <v>0.4</v>
      </c>
      <c r="B74" s="121">
        <f t="shared" si="19"/>
        <v>4.8116109568417942</v>
      </c>
      <c r="C74" s="155">
        <f t="shared" si="20"/>
        <v>1716.374081746603</v>
      </c>
      <c r="D74" s="156">
        <f t="shared" si="21"/>
        <v>298.6490902239089</v>
      </c>
      <c r="E74" s="156">
        <f t="shared" si="22"/>
        <v>597.2981804478178</v>
      </c>
      <c r="F74" s="128">
        <f t="shared" si="23"/>
        <v>895.94727067172676</v>
      </c>
      <c r="G74" s="76"/>
      <c r="H74" s="76"/>
      <c r="I74" s="76"/>
      <c r="J74" s="76"/>
      <c r="K74" s="76"/>
      <c r="L74" s="76"/>
      <c r="M74" s="76"/>
      <c r="N74" s="76"/>
      <c r="O74" s="76"/>
    </row>
    <row r="75" spans="1:17" x14ac:dyDescent="0.25">
      <c r="A75" s="120">
        <f t="shared" si="19"/>
        <v>0.45</v>
      </c>
      <c r="B75" s="121">
        <f t="shared" si="19"/>
        <v>5.4130623264470188</v>
      </c>
      <c r="C75" s="155">
        <f t="shared" si="20"/>
        <v>2749.2994019383455</v>
      </c>
      <c r="D75" s="156">
        <f t="shared" si="21"/>
        <v>478.37809593727206</v>
      </c>
      <c r="E75" s="156">
        <f t="shared" si="22"/>
        <v>956.75619187454413</v>
      </c>
      <c r="F75" s="128">
        <f t="shared" si="23"/>
        <v>1435.1342878118162</v>
      </c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</row>
    <row r="76" spans="1:17" x14ac:dyDescent="0.25">
      <c r="A76" s="120">
        <f t="shared" si="19"/>
        <v>0.5</v>
      </c>
      <c r="B76" s="121">
        <f t="shared" si="19"/>
        <v>6.0145136960522425</v>
      </c>
      <c r="C76" s="155">
        <f t="shared" si="20"/>
        <v>4190.366410514167</v>
      </c>
      <c r="D76" s="156">
        <f t="shared" si="21"/>
        <v>729.12375542946506</v>
      </c>
      <c r="E76" s="156">
        <f t="shared" si="22"/>
        <v>1458.2475108589301</v>
      </c>
      <c r="F76" s="128">
        <f t="shared" si="23"/>
        <v>2187.3712662883954</v>
      </c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</row>
    <row r="77" spans="1:17" x14ac:dyDescent="0.25">
      <c r="A77" s="120">
        <f t="shared" si="19"/>
        <v>0.55000000000000004</v>
      </c>
      <c r="B77" s="121">
        <f t="shared" si="19"/>
        <v>6.6159650656574671</v>
      </c>
      <c r="C77" s="155">
        <f t="shared" si="20"/>
        <v>6135.1154616337926</v>
      </c>
      <c r="D77" s="156">
        <f t="shared" si="21"/>
        <v>1067.5100903242799</v>
      </c>
      <c r="E77" s="156">
        <f t="shared" si="22"/>
        <v>2135.0201806485597</v>
      </c>
      <c r="F77" s="128">
        <f t="shared" si="23"/>
        <v>3202.5302709728394</v>
      </c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</row>
    <row r="78" spans="1:17" ht="13.8" thickBot="1" x14ac:dyDescent="0.3">
      <c r="A78" s="129">
        <f t="shared" si="19"/>
        <v>0.6</v>
      </c>
      <c r="B78" s="130">
        <f t="shared" si="19"/>
        <v>7.2174164352626908</v>
      </c>
      <c r="C78" s="157">
        <f t="shared" si="20"/>
        <v>8689.1437888421751</v>
      </c>
      <c r="D78" s="158">
        <f t="shared" si="21"/>
        <v>1511.9110192585383</v>
      </c>
      <c r="E78" s="158">
        <f t="shared" si="22"/>
        <v>3023.8220385170766</v>
      </c>
      <c r="F78" s="137">
        <f t="shared" si="23"/>
        <v>4535.7330577756147</v>
      </c>
    </row>
    <row r="80" spans="1:17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</row>
    <row r="81" spans="1:17" ht="13.8" thickBot="1" x14ac:dyDescent="0.3"/>
    <row r="82" spans="1:17" ht="13.8" thickBot="1" x14ac:dyDescent="0.3">
      <c r="A82" s="103" t="s">
        <v>212</v>
      </c>
      <c r="B82" s="104"/>
      <c r="C82" s="105"/>
    </row>
    <row r="83" spans="1:17" x14ac:dyDescent="0.25">
      <c r="A83" s="64" t="s">
        <v>205</v>
      </c>
      <c r="B83" s="159">
        <f>B63</f>
        <v>0.23415976389271476</v>
      </c>
    </row>
    <row r="84" spans="1:17" ht="13.8" thickBot="1" x14ac:dyDescent="0.3">
      <c r="A84" s="77" t="s">
        <v>213</v>
      </c>
      <c r="B84" s="147">
        <f>B7/(B11+G10)</f>
        <v>1.3286921537797376</v>
      </c>
    </row>
    <row r="85" spans="1:17" ht="13.8" thickBot="1" x14ac:dyDescent="0.3">
      <c r="A85" s="949" t="s">
        <v>214</v>
      </c>
      <c r="B85" s="951"/>
    </row>
    <row r="86" spans="1:17" ht="13.8" thickBot="1" x14ac:dyDescent="0.3">
      <c r="A86" s="160" t="s">
        <v>136</v>
      </c>
      <c r="B86" s="161">
        <v>10</v>
      </c>
      <c r="C86" s="161">
        <v>20</v>
      </c>
      <c r="D86" s="162">
        <v>30</v>
      </c>
    </row>
    <row r="87" spans="1:17" x14ac:dyDescent="0.25">
      <c r="A87" s="163" t="s">
        <v>185</v>
      </c>
      <c r="B87" s="153">
        <f>4.08+(0.037*B86*0.01745)-(4.983*(B86*0.01745)^3)</f>
        <v>4.0599789875416246</v>
      </c>
      <c r="C87" s="153">
        <f>4.08+(0.037*C86*0.01745)-(4.983*(C86*0.01745)^3)</f>
        <v>3.8810929003330004</v>
      </c>
      <c r="D87" s="164">
        <f>4.08+(0.037*D86*0.01745)-(4.983*(D86*0.01745)^3)</f>
        <v>3.3844766636238752</v>
      </c>
    </row>
    <row r="88" spans="1:17" x14ac:dyDescent="0.25">
      <c r="A88" s="165" t="s">
        <v>186</v>
      </c>
      <c r="B88" s="155">
        <f>-4.179-(0.0809*B86*0.01745)+(9.967*(B86*0.01745)^3)</f>
        <v>-4.1401567115146252</v>
      </c>
      <c r="C88" s="155">
        <f>-4.179-(0.0809*C86*0.01745)+(9.967*(C86*0.01745)^3)</f>
        <v>-3.7835513921169999</v>
      </c>
      <c r="D88" s="166">
        <f>-4.179-(0.0809*D86*0.01745)+(9.967*(D86*0.01745)^3)</f>
        <v>-2.791422010894876</v>
      </c>
    </row>
    <row r="89" spans="1:17" ht="13.8" thickBot="1" x14ac:dyDescent="0.3">
      <c r="A89" s="167" t="s">
        <v>187</v>
      </c>
      <c r="B89" s="168">
        <f>0.055-(0.0339*0.01745*B86)-(0.0552*(0.01745*B86)^3)</f>
        <v>4.8791141011900005E-2</v>
      </c>
      <c r="C89" s="168">
        <f>0.055-(0.0339*0.01745*C86)-(0.0552*(0.01745*C86)^3)</f>
        <v>4.0822428095199995E-2</v>
      </c>
      <c r="D89" s="169">
        <f>0.055-(0.0339*0.01745*D86)-(0.0552*(0.01745*D86)^3)</f>
        <v>2.933400732130001E-2</v>
      </c>
    </row>
    <row r="90" spans="1:17" ht="13.8" thickBot="1" x14ac:dyDescent="0.3">
      <c r="A90" s="160" t="s">
        <v>215</v>
      </c>
      <c r="B90" s="161">
        <f>(B87*$B$83)+(B88*$B$83^2)+(B89*$B$84)</f>
        <v>0.7885040433428171</v>
      </c>
      <c r="C90" s="161">
        <f>(C87*$B$83)+(C88*$B$83^2)+(C89*$B$84)</f>
        <v>0.75558110624338792</v>
      </c>
      <c r="D90" s="162">
        <f>(D87*$B$83)+(D88*$B$83^2)+(D89*$B$84)</f>
        <v>0.67842823371004168</v>
      </c>
    </row>
    <row r="91" spans="1:17" ht="13.8" thickBot="1" x14ac:dyDescent="0.3">
      <c r="A91" s="170" t="s">
        <v>216</v>
      </c>
      <c r="B91" s="171">
        <f>B90*($B$11+$G$10)</f>
        <v>2.3203650301539325</v>
      </c>
      <c r="C91" s="171">
        <f>C90*($B$11+$G$10)</f>
        <v>2.2234812759354909</v>
      </c>
      <c r="D91" s="172">
        <f>D90*($B$11+$G$10)</f>
        <v>1.9964401733390558</v>
      </c>
    </row>
    <row r="92" spans="1:17" ht="13.8" thickBot="1" x14ac:dyDescent="0.3">
      <c r="A92" s="173"/>
      <c r="B92" s="173"/>
      <c r="C92" s="174"/>
      <c r="D92" s="174"/>
    </row>
    <row r="93" spans="1:17" ht="13.8" thickBot="1" x14ac:dyDescent="0.3">
      <c r="A93" s="175" t="s">
        <v>217</v>
      </c>
      <c r="B93" s="176"/>
    </row>
    <row r="94" spans="1:17" x14ac:dyDescent="0.25">
      <c r="A94" s="177" t="s">
        <v>218</v>
      </c>
      <c r="B94" s="178">
        <f>B83</f>
        <v>0.23415976389271476</v>
      </c>
    </row>
    <row r="95" spans="1:17" ht="13.8" thickBot="1" x14ac:dyDescent="0.3">
      <c r="A95" s="179" t="s">
        <v>219</v>
      </c>
      <c r="B95" s="180">
        <f>((B11+G10)^2)/B12</f>
        <v>0.19914717455541078</v>
      </c>
      <c r="C95" s="181"/>
      <c r="D95" s="181"/>
      <c r="E95" s="182"/>
      <c r="F95" s="182"/>
      <c r="G95" s="182"/>
      <c r="H95" s="182"/>
      <c r="I95" s="182"/>
      <c r="J95" s="182"/>
      <c r="K95" s="182"/>
      <c r="L95" s="182"/>
      <c r="M95" s="182"/>
      <c r="N95" s="182"/>
      <c r="O95" s="182"/>
      <c r="P95" s="182"/>
      <c r="Q95" s="182"/>
    </row>
    <row r="96" spans="1:17" ht="13.8" thickBot="1" x14ac:dyDescent="0.3">
      <c r="A96" s="183" t="s">
        <v>220</v>
      </c>
      <c r="B96" s="184"/>
      <c r="C96" s="140"/>
      <c r="D96" s="140"/>
      <c r="E96" s="140"/>
      <c r="F96" s="182"/>
      <c r="M96" s="182"/>
      <c r="N96" s="182"/>
      <c r="O96" s="182"/>
      <c r="P96" s="182"/>
      <c r="Q96" s="182"/>
    </row>
    <row r="97" spans="1:28" ht="13.8" thickBot="1" x14ac:dyDescent="0.3">
      <c r="A97" s="87" t="s">
        <v>136</v>
      </c>
      <c r="B97" s="88">
        <v>0</v>
      </c>
      <c r="C97" s="88">
        <v>10</v>
      </c>
      <c r="D97" s="88">
        <v>20</v>
      </c>
      <c r="E97" s="89">
        <v>30</v>
      </c>
      <c r="F97" s="182"/>
      <c r="J97" s="182"/>
      <c r="K97" s="182"/>
      <c r="L97" s="182"/>
      <c r="M97" s="182"/>
      <c r="N97" s="182"/>
      <c r="O97" s="182"/>
      <c r="P97" s="182"/>
      <c r="Q97" s="182"/>
    </row>
    <row r="98" spans="1:28" x14ac:dyDescent="0.25">
      <c r="A98" s="90" t="s">
        <v>221</v>
      </c>
      <c r="B98" s="91">
        <v>2.0249999999999999</v>
      </c>
      <c r="C98" s="91">
        <v>1.9890000000000001</v>
      </c>
      <c r="D98" s="91">
        <v>1.98</v>
      </c>
      <c r="E98" s="92">
        <v>1.762</v>
      </c>
    </row>
    <row r="99" spans="1:28" x14ac:dyDescent="0.25">
      <c r="A99" s="90" t="s">
        <v>222</v>
      </c>
      <c r="B99" s="91">
        <v>9.5510000000000002</v>
      </c>
      <c r="C99" s="91">
        <v>6.7290000000000001</v>
      </c>
      <c r="D99" s="91">
        <v>0.63300000000000001</v>
      </c>
      <c r="E99" s="92">
        <v>-4.9569999999999999</v>
      </c>
    </row>
    <row r="100" spans="1:28" x14ac:dyDescent="0.25">
      <c r="A100" s="90" t="s">
        <v>223</v>
      </c>
      <c r="B100" s="91">
        <v>0.63100000000000001</v>
      </c>
      <c r="C100" s="91">
        <v>0.49399999999999999</v>
      </c>
      <c r="D100" s="91">
        <v>0.19400000000000001</v>
      </c>
      <c r="E100" s="92">
        <v>-8.6999999999999994E-2</v>
      </c>
    </row>
    <row r="101" spans="1:28" ht="13.8" thickBot="1" x14ac:dyDescent="0.3">
      <c r="A101" s="93" t="s">
        <v>224</v>
      </c>
      <c r="B101" s="94">
        <v>-6.5750000000000002</v>
      </c>
      <c r="C101" s="94">
        <v>-4.7450000000000001</v>
      </c>
      <c r="D101" s="94">
        <v>-0.79200000000000004</v>
      </c>
      <c r="E101" s="95">
        <v>2.766</v>
      </c>
    </row>
    <row r="102" spans="1:28" ht="13.8" thickBot="1" x14ac:dyDescent="0.3">
      <c r="A102" s="185" t="s">
        <v>225</v>
      </c>
      <c r="B102" s="186">
        <f>(B98*$B$95)+(B99*$B$95^2)+(B100*$B$94)+(B101*$B$94*$B$95)</f>
        <v>0.62320957262943399</v>
      </c>
      <c r="C102" s="186">
        <f>(C98*$B$95)+(C99*$B$95^2)+(C100*$B$94)+(C101*$B$94*$B$95)</f>
        <v>0.55737803091572058</v>
      </c>
      <c r="D102" s="186">
        <f>(D98*$B$95)+(D99*$B$95^2)+(D100*$B$94)+(D101*$B$94*$B$95)</f>
        <v>0.42791017854429758</v>
      </c>
      <c r="E102" s="187">
        <f>(E98*$B$95)+(E99*$B$95^2)+(E100*$B$94)+(E101*$B$94*$B$95)</f>
        <v>0.26291761748160808</v>
      </c>
    </row>
    <row r="103" spans="1:28" ht="13.8" thickBot="1" x14ac:dyDescent="0.3">
      <c r="A103" s="266"/>
      <c r="B103" s="267"/>
      <c r="C103" s="267"/>
      <c r="D103" s="267"/>
      <c r="E103" s="267"/>
      <c r="F103" s="102"/>
      <c r="G103" s="102"/>
      <c r="H103" s="102"/>
      <c r="I103" s="102"/>
      <c r="J103" s="102"/>
      <c r="K103" s="102"/>
      <c r="L103" s="102"/>
      <c r="M103" s="102"/>
      <c r="N103" s="102"/>
      <c r="O103" s="102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  <c r="AA103" s="102"/>
      <c r="AB103" s="102"/>
    </row>
    <row r="104" spans="1:28" ht="12.75" customHeight="1" x14ac:dyDescent="0.25">
      <c r="A104" s="952" t="s">
        <v>277</v>
      </c>
      <c r="B104" s="953"/>
      <c r="C104" s="953"/>
      <c r="D104" s="953"/>
      <c r="E104" s="953"/>
      <c r="F104" s="954"/>
      <c r="G104" s="102"/>
      <c r="H104" s="952" t="s">
        <v>278</v>
      </c>
      <c r="I104" s="953"/>
      <c r="J104" s="953"/>
      <c r="K104" s="953"/>
      <c r="L104" s="953"/>
      <c r="M104" s="954"/>
      <c r="N104" s="102"/>
      <c r="O104" s="952" t="s">
        <v>279</v>
      </c>
      <c r="P104" s="953"/>
      <c r="Q104" s="953"/>
      <c r="R104" s="953"/>
      <c r="S104" s="953"/>
      <c r="T104" s="954"/>
      <c r="U104" s="102"/>
      <c r="V104" s="952" t="s">
        <v>280</v>
      </c>
      <c r="W104" s="953"/>
      <c r="X104" s="953"/>
      <c r="Y104" s="953"/>
      <c r="Z104" s="953"/>
      <c r="AA104" s="954"/>
      <c r="AB104" s="102"/>
    </row>
    <row r="105" spans="1:28" ht="13.8" thickBot="1" x14ac:dyDescent="0.3">
      <c r="A105" s="955"/>
      <c r="B105" s="956"/>
      <c r="C105" s="956"/>
      <c r="D105" s="956"/>
      <c r="E105" s="956"/>
      <c r="F105" s="957"/>
      <c r="G105" s="102"/>
      <c r="H105" s="955"/>
      <c r="I105" s="956"/>
      <c r="J105" s="956"/>
      <c r="K105" s="956"/>
      <c r="L105" s="956"/>
      <c r="M105" s="957"/>
      <c r="N105" s="102"/>
      <c r="O105" s="955"/>
      <c r="P105" s="956"/>
      <c r="Q105" s="956"/>
      <c r="R105" s="956"/>
      <c r="S105" s="956"/>
      <c r="T105" s="957"/>
      <c r="U105" s="102"/>
      <c r="V105" s="955"/>
      <c r="W105" s="956"/>
      <c r="X105" s="956"/>
      <c r="Y105" s="956"/>
      <c r="Z105" s="956"/>
      <c r="AA105" s="957"/>
      <c r="AB105" s="102"/>
    </row>
    <row r="106" spans="1:28" ht="13.8" thickBot="1" x14ac:dyDescent="0.3">
      <c r="A106" s="188" t="s">
        <v>226</v>
      </c>
      <c r="B106" s="189"/>
      <c r="C106" s="190"/>
      <c r="D106" s="191" t="s">
        <v>227</v>
      </c>
      <c r="E106" s="192">
        <f>C239</f>
        <v>3</v>
      </c>
      <c r="F106" s="193" t="s">
        <v>228</v>
      </c>
      <c r="G106" s="102"/>
      <c r="H106" s="188" t="s">
        <v>226</v>
      </c>
      <c r="I106" s="189"/>
      <c r="J106" s="190"/>
      <c r="K106" s="191" t="s">
        <v>227</v>
      </c>
      <c r="L106" s="192">
        <f>C256</f>
        <v>2.5</v>
      </c>
      <c r="M106" s="193" t="s">
        <v>228</v>
      </c>
      <c r="N106" s="102"/>
      <c r="O106" s="188" t="s">
        <v>226</v>
      </c>
      <c r="P106" s="189"/>
      <c r="Q106" s="190"/>
      <c r="R106" s="191" t="s">
        <v>227</v>
      </c>
      <c r="S106" s="192">
        <f>C273</f>
        <v>4</v>
      </c>
      <c r="T106" s="193" t="s">
        <v>228</v>
      </c>
      <c r="U106" s="102"/>
      <c r="V106" s="188" t="s">
        <v>226</v>
      </c>
      <c r="W106" s="189"/>
      <c r="X106" s="190"/>
      <c r="Y106" s="191" t="s">
        <v>227</v>
      </c>
      <c r="Z106" s="192">
        <f>C290</f>
        <v>0</v>
      </c>
      <c r="AA106" s="193" t="s">
        <v>228</v>
      </c>
      <c r="AB106" s="102"/>
    </row>
    <row r="107" spans="1:28" ht="13.8" thickBot="1" x14ac:dyDescent="0.3">
      <c r="A107" s="194" t="str">
        <f t="shared" ref="A107:B118" si="24">A67</f>
        <v>Froude No</v>
      </c>
      <c r="B107" s="195" t="str">
        <f t="shared" si="24"/>
        <v>Boat Speed</v>
      </c>
      <c r="C107" s="196" t="s">
        <v>229</v>
      </c>
      <c r="D107" s="107" t="s">
        <v>230</v>
      </c>
      <c r="E107" s="107" t="s">
        <v>231</v>
      </c>
      <c r="F107" s="197" t="s">
        <v>232</v>
      </c>
      <c r="G107" s="102"/>
      <c r="H107" s="194" t="str">
        <f t="shared" ref="H107:H118" si="25">A107</f>
        <v>Froude No</v>
      </c>
      <c r="I107" s="195" t="str">
        <f t="shared" ref="I107:I118" si="26">B107</f>
        <v>Boat Speed</v>
      </c>
      <c r="J107" s="196" t="s">
        <v>229</v>
      </c>
      <c r="K107" s="107" t="s">
        <v>230</v>
      </c>
      <c r="L107" s="107" t="s">
        <v>231</v>
      </c>
      <c r="M107" s="197" t="s">
        <v>232</v>
      </c>
      <c r="N107" s="102"/>
      <c r="O107" s="194" t="str">
        <f t="shared" ref="O107:O118" si="27">H107</f>
        <v>Froude No</v>
      </c>
      <c r="P107" s="195" t="str">
        <f t="shared" ref="P107:P118" si="28">I107</f>
        <v>Boat Speed</v>
      </c>
      <c r="Q107" s="196" t="s">
        <v>229</v>
      </c>
      <c r="R107" s="107" t="s">
        <v>230</v>
      </c>
      <c r="S107" s="107" t="s">
        <v>231</v>
      </c>
      <c r="T107" s="197" t="s">
        <v>232</v>
      </c>
      <c r="U107" s="102"/>
      <c r="V107" s="194" t="str">
        <f t="shared" ref="V107:V118" si="29">O107</f>
        <v>Froude No</v>
      </c>
      <c r="W107" s="195" t="str">
        <f t="shared" ref="W107:W118" si="30">P107</f>
        <v>Boat Speed</v>
      </c>
      <c r="X107" s="196" t="s">
        <v>229</v>
      </c>
      <c r="Y107" s="107" t="s">
        <v>230</v>
      </c>
      <c r="Z107" s="107" t="s">
        <v>231</v>
      </c>
      <c r="AA107" s="197" t="s">
        <v>232</v>
      </c>
      <c r="AB107" s="102"/>
    </row>
    <row r="108" spans="1:28" x14ac:dyDescent="0.25">
      <c r="A108" s="198">
        <f t="shared" si="24"/>
        <v>0.1</v>
      </c>
      <c r="B108" s="199">
        <f t="shared" si="24"/>
        <v>1.2029027392104485</v>
      </c>
      <c r="C108" s="200">
        <f t="shared" ref="C108:C118" si="31">0.5*$G$4*B108^2*$B$12*($E$106*0.01745)*$B$102</f>
        <v>1052.0498622697314</v>
      </c>
      <c r="D108" s="200">
        <f t="shared" ref="D108:D118" si="32">1.015*0.5*$G$4*B108^2*$B$12*($E$106*0.01745)*$C$102</f>
        <v>955.03238237455048</v>
      </c>
      <c r="E108" s="200">
        <f t="shared" ref="E108:E118" si="33">1.064*0.5*$G$4*B108^2*$B$12*($E$106*0.01745)*$D$102</f>
        <v>768.59305036356523</v>
      </c>
      <c r="F108" s="201">
        <f t="shared" ref="F108:F118" si="34">1.154*0.5*$G$4*B108^2*$B$12*($E$106*0.01745)*$E$102</f>
        <v>512.1860021742981</v>
      </c>
      <c r="G108" s="102"/>
      <c r="H108" s="198">
        <f t="shared" si="25"/>
        <v>0.1</v>
      </c>
      <c r="I108" s="199">
        <f t="shared" si="26"/>
        <v>1.2029027392104485</v>
      </c>
      <c r="J108" s="200">
        <f t="shared" ref="J108:J118" si="35">0.5*$G$4*I108^2*$B$12*($L$106*0.01745)*$B$102</f>
        <v>876.70821855810948</v>
      </c>
      <c r="K108" s="200">
        <f t="shared" ref="K108:K118" si="36">1.015*0.5*$G$4*I108^2*$B$12*($L$106*0.01745)*$C$102</f>
        <v>795.86031864545873</v>
      </c>
      <c r="L108" s="200">
        <f t="shared" ref="L108:L118" si="37">1.064*0.5*$G$4*I108^2*$B$12*($L$106*0.01745)*$D$102</f>
        <v>640.49420863630439</v>
      </c>
      <c r="M108" s="201">
        <f t="shared" ref="M108:M118" si="38">1.154*0.5*$G$4*I108^2*$B$12*($L$106*0.01745)*$E$102</f>
        <v>426.82166847858178</v>
      </c>
      <c r="N108" s="102"/>
      <c r="O108" s="198">
        <f t="shared" si="27"/>
        <v>0.1</v>
      </c>
      <c r="P108" s="199">
        <f t="shared" si="28"/>
        <v>1.2029027392104485</v>
      </c>
      <c r="Q108" s="200">
        <f t="shared" ref="Q108:Q118" si="39">0.5*$G$4*P108^2*$B$12*($S$106*0.01745)*$B$102</f>
        <v>1402.7331496929753</v>
      </c>
      <c r="R108" s="200">
        <f t="shared" ref="R108:R118" si="40">1.015*0.5*$G$4*P108^2*$B$12*($S$106*0.01745)*$C$102</f>
        <v>1273.376509832734</v>
      </c>
      <c r="S108" s="200">
        <f t="shared" ref="S108:S118" si="41">1.064*0.5*$G$4*P108^2*$B$12*($S$106*0.01745)*$D$102</f>
        <v>1024.7907338180871</v>
      </c>
      <c r="T108" s="201">
        <f t="shared" ref="T108:T118" si="42">1.154*0.5*$G$4*P108^2*$B$12*($S$106*0.01745)*$E$102</f>
        <v>682.91466956573083</v>
      </c>
      <c r="U108" s="102"/>
      <c r="V108" s="198">
        <f t="shared" si="29"/>
        <v>0.1</v>
      </c>
      <c r="W108" s="199">
        <f t="shared" si="30"/>
        <v>1.2029027392104485</v>
      </c>
      <c r="X108" s="200">
        <f t="shared" ref="X108:X118" si="43">0.5*$G$4*W108^2*$B$12*($Z$106*0.01745)*$B$102</f>
        <v>0</v>
      </c>
      <c r="Y108" s="200">
        <f t="shared" ref="Y108:Y118" si="44">1.015*0.5*$G$4*W108^2*$B$12*($Z$106*0.01745)*$C$102</f>
        <v>0</v>
      </c>
      <c r="Z108" s="200">
        <f t="shared" ref="Z108:Z118" si="45">1.064*0.5*$G$4*W108^2*$B$12*($Z$106*0.01745)*$D$102</f>
        <v>0</v>
      </c>
      <c r="AA108" s="201">
        <f t="shared" ref="AA108:AA118" si="46">1.154*0.5*$G$4*W108^2*$B$12*($Z$106*0.01745)*$E$102</f>
        <v>0</v>
      </c>
      <c r="AB108" s="102"/>
    </row>
    <row r="109" spans="1:28" x14ac:dyDescent="0.25">
      <c r="A109" s="198">
        <f t="shared" si="24"/>
        <v>0.15</v>
      </c>
      <c r="B109" s="199">
        <f t="shared" si="24"/>
        <v>1.8043541088156727</v>
      </c>
      <c r="C109" s="200">
        <f t="shared" si="31"/>
        <v>2367.1121901068955</v>
      </c>
      <c r="D109" s="200">
        <f t="shared" si="32"/>
        <v>2148.8228603427387</v>
      </c>
      <c r="E109" s="200">
        <f t="shared" si="33"/>
        <v>1729.3343633180218</v>
      </c>
      <c r="F109" s="201">
        <f t="shared" si="34"/>
        <v>1152.4185048921706</v>
      </c>
      <c r="G109" s="102"/>
      <c r="H109" s="198">
        <f t="shared" si="25"/>
        <v>0.15</v>
      </c>
      <c r="I109" s="199">
        <f t="shared" si="26"/>
        <v>1.8043541088156727</v>
      </c>
      <c r="J109" s="200">
        <f t="shared" si="35"/>
        <v>1972.5934917557461</v>
      </c>
      <c r="K109" s="200">
        <f t="shared" si="36"/>
        <v>1790.6857169522821</v>
      </c>
      <c r="L109" s="200">
        <f t="shared" si="37"/>
        <v>1441.1119694316847</v>
      </c>
      <c r="M109" s="201">
        <f t="shared" si="38"/>
        <v>960.34875407680886</v>
      </c>
      <c r="N109" s="102"/>
      <c r="O109" s="198">
        <f t="shared" si="27"/>
        <v>0.15</v>
      </c>
      <c r="P109" s="199">
        <f t="shared" si="28"/>
        <v>1.8043541088156727</v>
      </c>
      <c r="Q109" s="200">
        <f t="shared" si="39"/>
        <v>3156.1495868091934</v>
      </c>
      <c r="R109" s="200">
        <f t="shared" si="40"/>
        <v>2865.0971471236512</v>
      </c>
      <c r="S109" s="200">
        <f t="shared" si="41"/>
        <v>2305.7791510906959</v>
      </c>
      <c r="T109" s="201">
        <f t="shared" si="42"/>
        <v>1536.5580065228942</v>
      </c>
      <c r="U109" s="102"/>
      <c r="V109" s="198">
        <f t="shared" si="29"/>
        <v>0.15</v>
      </c>
      <c r="W109" s="199">
        <f t="shared" si="30"/>
        <v>1.8043541088156727</v>
      </c>
      <c r="X109" s="200">
        <f t="shared" si="43"/>
        <v>0</v>
      </c>
      <c r="Y109" s="200">
        <f t="shared" si="44"/>
        <v>0</v>
      </c>
      <c r="Z109" s="200">
        <f t="shared" si="45"/>
        <v>0</v>
      </c>
      <c r="AA109" s="201">
        <f t="shared" si="46"/>
        <v>0</v>
      </c>
      <c r="AB109" s="102"/>
    </row>
    <row r="110" spans="1:28" x14ac:dyDescent="0.25">
      <c r="A110" s="198">
        <f t="shared" si="24"/>
        <v>0.2</v>
      </c>
      <c r="B110" s="199">
        <f t="shared" si="24"/>
        <v>2.4058054784208971</v>
      </c>
      <c r="C110" s="200">
        <f t="shared" si="31"/>
        <v>4208.1994490789257</v>
      </c>
      <c r="D110" s="200">
        <f t="shared" si="32"/>
        <v>3820.1295294982019</v>
      </c>
      <c r="E110" s="200">
        <f t="shared" si="33"/>
        <v>3074.3722014542609</v>
      </c>
      <c r="F110" s="201">
        <f t="shared" si="34"/>
        <v>2048.7440086971924</v>
      </c>
      <c r="G110" s="102"/>
      <c r="H110" s="198">
        <f t="shared" si="25"/>
        <v>0.2</v>
      </c>
      <c r="I110" s="199">
        <f t="shared" si="26"/>
        <v>2.4058054784208971</v>
      </c>
      <c r="J110" s="200">
        <f t="shared" si="35"/>
        <v>3506.8328742324379</v>
      </c>
      <c r="K110" s="200">
        <f t="shared" si="36"/>
        <v>3183.4412745818349</v>
      </c>
      <c r="L110" s="200">
        <f t="shared" si="37"/>
        <v>2561.9768345452176</v>
      </c>
      <c r="M110" s="201">
        <f t="shared" si="38"/>
        <v>1707.2866739143271</v>
      </c>
      <c r="N110" s="102"/>
      <c r="O110" s="198">
        <f t="shared" si="27"/>
        <v>0.2</v>
      </c>
      <c r="P110" s="199">
        <f t="shared" si="28"/>
        <v>2.4058054784208971</v>
      </c>
      <c r="Q110" s="200">
        <f t="shared" si="39"/>
        <v>5610.9325987719012</v>
      </c>
      <c r="R110" s="200">
        <f t="shared" si="40"/>
        <v>5093.5060393309359</v>
      </c>
      <c r="S110" s="200">
        <f t="shared" si="41"/>
        <v>4099.1629352723485</v>
      </c>
      <c r="T110" s="201">
        <f t="shared" si="42"/>
        <v>2731.6586782629233</v>
      </c>
      <c r="U110" s="102"/>
      <c r="V110" s="198">
        <f t="shared" si="29"/>
        <v>0.2</v>
      </c>
      <c r="W110" s="199">
        <f t="shared" si="30"/>
        <v>2.4058054784208971</v>
      </c>
      <c r="X110" s="200">
        <f t="shared" si="43"/>
        <v>0</v>
      </c>
      <c r="Y110" s="200">
        <f t="shared" si="44"/>
        <v>0</v>
      </c>
      <c r="Z110" s="200">
        <f t="shared" si="45"/>
        <v>0</v>
      </c>
      <c r="AA110" s="201">
        <f t="shared" si="46"/>
        <v>0</v>
      </c>
      <c r="AB110" s="102"/>
    </row>
    <row r="111" spans="1:28" x14ac:dyDescent="0.25">
      <c r="A111" s="198">
        <f t="shared" si="24"/>
        <v>0.25</v>
      </c>
      <c r="B111" s="199">
        <f t="shared" si="24"/>
        <v>3.0072568480261213</v>
      </c>
      <c r="C111" s="200">
        <f t="shared" si="31"/>
        <v>6575.3116391858221</v>
      </c>
      <c r="D111" s="200">
        <f t="shared" si="32"/>
        <v>5968.9523898409407</v>
      </c>
      <c r="E111" s="200">
        <f t="shared" si="33"/>
        <v>4803.7065647722829</v>
      </c>
      <c r="F111" s="201">
        <f t="shared" si="34"/>
        <v>3201.1625135893628</v>
      </c>
      <c r="G111" s="102"/>
      <c r="H111" s="198">
        <f t="shared" si="25"/>
        <v>0.25</v>
      </c>
      <c r="I111" s="199">
        <f t="shared" si="26"/>
        <v>3.0072568480261213</v>
      </c>
      <c r="J111" s="200">
        <f t="shared" si="35"/>
        <v>5479.4263659881854</v>
      </c>
      <c r="K111" s="200">
        <f t="shared" si="36"/>
        <v>4974.1269915341172</v>
      </c>
      <c r="L111" s="200">
        <f t="shared" si="37"/>
        <v>4003.088803976902</v>
      </c>
      <c r="M111" s="201">
        <f t="shared" si="38"/>
        <v>2667.6354279911357</v>
      </c>
      <c r="N111" s="102"/>
      <c r="O111" s="198">
        <f t="shared" si="27"/>
        <v>0.25</v>
      </c>
      <c r="P111" s="199">
        <f t="shared" si="28"/>
        <v>3.0072568480261213</v>
      </c>
      <c r="Q111" s="200">
        <f t="shared" si="39"/>
        <v>8767.0821855810955</v>
      </c>
      <c r="R111" s="200">
        <f t="shared" si="40"/>
        <v>7958.6031864545876</v>
      </c>
      <c r="S111" s="200">
        <f t="shared" si="41"/>
        <v>6404.9420863630439</v>
      </c>
      <c r="T111" s="201">
        <f t="shared" si="42"/>
        <v>4268.2166847858171</v>
      </c>
      <c r="U111" s="102"/>
      <c r="V111" s="198">
        <f t="shared" si="29"/>
        <v>0.25</v>
      </c>
      <c r="W111" s="199">
        <f t="shared" si="30"/>
        <v>3.0072568480261213</v>
      </c>
      <c r="X111" s="200">
        <f t="shared" si="43"/>
        <v>0</v>
      </c>
      <c r="Y111" s="200">
        <f t="shared" si="44"/>
        <v>0</v>
      </c>
      <c r="Z111" s="200">
        <f t="shared" si="45"/>
        <v>0</v>
      </c>
      <c r="AA111" s="201">
        <f t="shared" si="46"/>
        <v>0</v>
      </c>
      <c r="AB111" s="102"/>
    </row>
    <row r="112" spans="1:28" x14ac:dyDescent="0.25">
      <c r="A112" s="198">
        <f t="shared" si="24"/>
        <v>0.3</v>
      </c>
      <c r="B112" s="199">
        <f t="shared" si="24"/>
        <v>3.6087082176313454</v>
      </c>
      <c r="C112" s="200">
        <f t="shared" si="31"/>
        <v>9468.4487604275819</v>
      </c>
      <c r="D112" s="200">
        <f t="shared" si="32"/>
        <v>8595.291441370955</v>
      </c>
      <c r="E112" s="200">
        <f t="shared" si="33"/>
        <v>6917.3374532720873</v>
      </c>
      <c r="F112" s="201">
        <f t="shared" si="34"/>
        <v>4609.6740195686825</v>
      </c>
      <c r="G112" s="102"/>
      <c r="H112" s="198">
        <f t="shared" si="25"/>
        <v>0.3</v>
      </c>
      <c r="I112" s="199">
        <f t="shared" si="26"/>
        <v>3.6087082176313454</v>
      </c>
      <c r="J112" s="200">
        <f t="shared" si="35"/>
        <v>7890.3739670229843</v>
      </c>
      <c r="K112" s="200">
        <f t="shared" si="36"/>
        <v>7162.7428678091283</v>
      </c>
      <c r="L112" s="200">
        <f t="shared" si="37"/>
        <v>5764.4478777267386</v>
      </c>
      <c r="M112" s="201">
        <f t="shared" si="38"/>
        <v>3841.3950163072354</v>
      </c>
      <c r="N112" s="102"/>
      <c r="O112" s="198">
        <f t="shared" si="27"/>
        <v>0.3</v>
      </c>
      <c r="P112" s="199">
        <f t="shared" si="28"/>
        <v>3.6087082176313454</v>
      </c>
      <c r="Q112" s="200">
        <f t="shared" si="39"/>
        <v>12624.598347236773</v>
      </c>
      <c r="R112" s="200">
        <f t="shared" si="40"/>
        <v>11460.388588494605</v>
      </c>
      <c r="S112" s="200">
        <f t="shared" si="41"/>
        <v>9223.1166043627836</v>
      </c>
      <c r="T112" s="201">
        <f t="shared" si="42"/>
        <v>6146.2320260915767</v>
      </c>
      <c r="U112" s="102"/>
      <c r="V112" s="198">
        <f t="shared" si="29"/>
        <v>0.3</v>
      </c>
      <c r="W112" s="199">
        <f t="shared" si="30"/>
        <v>3.6087082176313454</v>
      </c>
      <c r="X112" s="200">
        <f t="shared" si="43"/>
        <v>0</v>
      </c>
      <c r="Y112" s="200">
        <f t="shared" si="44"/>
        <v>0</v>
      </c>
      <c r="Z112" s="200">
        <f t="shared" si="45"/>
        <v>0</v>
      </c>
      <c r="AA112" s="201">
        <f t="shared" si="46"/>
        <v>0</v>
      </c>
      <c r="AB112" s="102"/>
    </row>
    <row r="113" spans="1:28" x14ac:dyDescent="0.25">
      <c r="A113" s="198">
        <f t="shared" si="24"/>
        <v>0.35</v>
      </c>
      <c r="B113" s="199">
        <f t="shared" si="24"/>
        <v>4.2101595872365696</v>
      </c>
      <c r="C113" s="200">
        <f t="shared" si="31"/>
        <v>12887.610812804209</v>
      </c>
      <c r="D113" s="200">
        <f t="shared" si="32"/>
        <v>11699.14668408824</v>
      </c>
      <c r="E113" s="200">
        <f t="shared" si="33"/>
        <v>9415.2648669536738</v>
      </c>
      <c r="F113" s="201">
        <f t="shared" si="34"/>
        <v>6274.2785266351511</v>
      </c>
      <c r="G113" s="139"/>
      <c r="H113" s="198">
        <f t="shared" si="25"/>
        <v>0.35</v>
      </c>
      <c r="I113" s="199">
        <f t="shared" si="26"/>
        <v>4.2101595872365696</v>
      </c>
      <c r="J113" s="200">
        <f t="shared" si="35"/>
        <v>10739.67567733684</v>
      </c>
      <c r="K113" s="200">
        <f t="shared" si="36"/>
        <v>9749.2889034068685</v>
      </c>
      <c r="L113" s="200">
        <f t="shared" si="37"/>
        <v>7846.0540557947261</v>
      </c>
      <c r="M113" s="201">
        <f t="shared" si="38"/>
        <v>5228.5654388626253</v>
      </c>
      <c r="N113" s="102"/>
      <c r="O113" s="198">
        <f t="shared" si="27"/>
        <v>0.35</v>
      </c>
      <c r="P113" s="199">
        <f t="shared" si="28"/>
        <v>4.2101595872365696</v>
      </c>
      <c r="Q113" s="200">
        <f t="shared" si="39"/>
        <v>17183.481083738945</v>
      </c>
      <c r="R113" s="200">
        <f t="shared" si="40"/>
        <v>15598.862245450988</v>
      </c>
      <c r="S113" s="200">
        <f t="shared" si="41"/>
        <v>12553.686489271564</v>
      </c>
      <c r="T113" s="201">
        <f t="shared" si="42"/>
        <v>8365.7047021802009</v>
      </c>
      <c r="U113" s="102"/>
      <c r="V113" s="198">
        <f t="shared" si="29"/>
        <v>0.35</v>
      </c>
      <c r="W113" s="199">
        <f t="shared" si="30"/>
        <v>4.2101595872365696</v>
      </c>
      <c r="X113" s="200">
        <f t="shared" si="43"/>
        <v>0</v>
      </c>
      <c r="Y113" s="200">
        <f t="shared" si="44"/>
        <v>0</v>
      </c>
      <c r="Z113" s="200">
        <f t="shared" si="45"/>
        <v>0</v>
      </c>
      <c r="AA113" s="201">
        <f t="shared" si="46"/>
        <v>0</v>
      </c>
      <c r="AB113" s="102"/>
    </row>
    <row r="114" spans="1:28" x14ac:dyDescent="0.25">
      <c r="A114" s="198">
        <f t="shared" si="24"/>
        <v>0.4</v>
      </c>
      <c r="B114" s="199">
        <f t="shared" si="24"/>
        <v>4.8116109568417942</v>
      </c>
      <c r="C114" s="200">
        <f t="shared" si="31"/>
        <v>16832.797796315703</v>
      </c>
      <c r="D114" s="200">
        <f t="shared" si="32"/>
        <v>15280.518117992808</v>
      </c>
      <c r="E114" s="200">
        <f t="shared" si="33"/>
        <v>12297.488805817044</v>
      </c>
      <c r="F114" s="201">
        <f t="shared" si="34"/>
        <v>8194.9760347887695</v>
      </c>
      <c r="G114" s="102"/>
      <c r="H114" s="198">
        <f t="shared" si="25"/>
        <v>0.4</v>
      </c>
      <c r="I114" s="199">
        <f t="shared" si="26"/>
        <v>4.8116109568417942</v>
      </c>
      <c r="J114" s="200">
        <f t="shared" si="35"/>
        <v>14027.331496929752</v>
      </c>
      <c r="K114" s="200">
        <f t="shared" si="36"/>
        <v>12733.76509832734</v>
      </c>
      <c r="L114" s="200">
        <f t="shared" si="37"/>
        <v>10247.90733818087</v>
      </c>
      <c r="M114" s="201">
        <f t="shared" si="38"/>
        <v>6829.1466956573086</v>
      </c>
      <c r="N114" s="102"/>
      <c r="O114" s="198">
        <f t="shared" si="27"/>
        <v>0.4</v>
      </c>
      <c r="P114" s="199">
        <f t="shared" si="28"/>
        <v>4.8116109568417942</v>
      </c>
      <c r="Q114" s="200">
        <f t="shared" si="39"/>
        <v>22443.730395087605</v>
      </c>
      <c r="R114" s="200">
        <f t="shared" si="40"/>
        <v>20374.024157323744</v>
      </c>
      <c r="S114" s="200">
        <f t="shared" si="41"/>
        <v>16396.651741089394</v>
      </c>
      <c r="T114" s="201">
        <f t="shared" si="42"/>
        <v>10926.634713051693</v>
      </c>
      <c r="U114" s="102"/>
      <c r="V114" s="198">
        <f t="shared" si="29"/>
        <v>0.4</v>
      </c>
      <c r="W114" s="199">
        <f t="shared" si="30"/>
        <v>4.8116109568417942</v>
      </c>
      <c r="X114" s="200">
        <f t="shared" si="43"/>
        <v>0</v>
      </c>
      <c r="Y114" s="200">
        <f t="shared" si="44"/>
        <v>0</v>
      </c>
      <c r="Z114" s="200">
        <f t="shared" si="45"/>
        <v>0</v>
      </c>
      <c r="AA114" s="201">
        <f t="shared" si="46"/>
        <v>0</v>
      </c>
      <c r="AB114" s="102"/>
    </row>
    <row r="115" spans="1:28" x14ac:dyDescent="0.25">
      <c r="A115" s="198">
        <f t="shared" si="24"/>
        <v>0.45</v>
      </c>
      <c r="B115" s="199">
        <f t="shared" si="24"/>
        <v>5.4130623264470188</v>
      </c>
      <c r="C115" s="200">
        <f t="shared" si="31"/>
        <v>21304.009710962066</v>
      </c>
      <c r="D115" s="200">
        <f t="shared" si="32"/>
        <v>19339.405743084651</v>
      </c>
      <c r="E115" s="200">
        <f t="shared" si="33"/>
        <v>15564.009269862197</v>
      </c>
      <c r="F115" s="201">
        <f t="shared" si="34"/>
        <v>10371.766544029539</v>
      </c>
      <c r="G115" s="102"/>
      <c r="H115" s="198">
        <f t="shared" si="25"/>
        <v>0.45</v>
      </c>
      <c r="I115" s="199">
        <f t="shared" si="26"/>
        <v>5.4130623264470188</v>
      </c>
      <c r="J115" s="200">
        <f t="shared" si="35"/>
        <v>17753.341425801718</v>
      </c>
      <c r="K115" s="200">
        <f t="shared" si="36"/>
        <v>16116.171452570541</v>
      </c>
      <c r="L115" s="200">
        <f t="shared" si="37"/>
        <v>12970.007724885165</v>
      </c>
      <c r="M115" s="201">
        <f t="shared" si="38"/>
        <v>8643.1387866912828</v>
      </c>
      <c r="N115" s="102"/>
      <c r="O115" s="198">
        <f t="shared" si="27"/>
        <v>0.45</v>
      </c>
      <c r="P115" s="199">
        <f t="shared" si="28"/>
        <v>5.4130623264470188</v>
      </c>
      <c r="Q115" s="200">
        <f t="shared" si="39"/>
        <v>28405.346281282757</v>
      </c>
      <c r="R115" s="200">
        <f t="shared" si="40"/>
        <v>25785.874324112865</v>
      </c>
      <c r="S115" s="200">
        <f t="shared" si="41"/>
        <v>20752.012359816265</v>
      </c>
      <c r="T115" s="201">
        <f t="shared" si="42"/>
        <v>13829.022058706054</v>
      </c>
      <c r="U115" s="102"/>
      <c r="V115" s="198">
        <f t="shared" si="29"/>
        <v>0.45</v>
      </c>
      <c r="W115" s="199">
        <f t="shared" si="30"/>
        <v>5.4130623264470188</v>
      </c>
      <c r="X115" s="200">
        <f t="shared" si="43"/>
        <v>0</v>
      </c>
      <c r="Y115" s="200">
        <f t="shared" si="44"/>
        <v>0</v>
      </c>
      <c r="Z115" s="200">
        <f t="shared" si="45"/>
        <v>0</v>
      </c>
      <c r="AA115" s="201">
        <f t="shared" si="46"/>
        <v>0</v>
      </c>
      <c r="AB115" s="102"/>
    </row>
    <row r="116" spans="1:28" x14ac:dyDescent="0.25">
      <c r="A116" s="198">
        <f t="shared" si="24"/>
        <v>0.5</v>
      </c>
      <c r="B116" s="199">
        <f t="shared" si="24"/>
        <v>6.0145136960522425</v>
      </c>
      <c r="C116" s="200">
        <f t="shared" si="31"/>
        <v>26301.246556743288</v>
      </c>
      <c r="D116" s="200">
        <f t="shared" si="32"/>
        <v>23875.809559363763</v>
      </c>
      <c r="E116" s="200">
        <f t="shared" si="33"/>
        <v>19214.826259089132</v>
      </c>
      <c r="F116" s="201">
        <f t="shared" si="34"/>
        <v>12804.650054357451</v>
      </c>
      <c r="G116" s="102"/>
      <c r="H116" s="198">
        <f t="shared" si="25"/>
        <v>0.5</v>
      </c>
      <c r="I116" s="199">
        <f t="shared" si="26"/>
        <v>6.0145136960522425</v>
      </c>
      <c r="J116" s="200">
        <f t="shared" si="35"/>
        <v>21917.705463952741</v>
      </c>
      <c r="K116" s="200">
        <f t="shared" si="36"/>
        <v>19896.507966136469</v>
      </c>
      <c r="L116" s="200">
        <f t="shared" si="37"/>
        <v>16012.355215907608</v>
      </c>
      <c r="M116" s="201">
        <f t="shared" si="38"/>
        <v>10670.541711964543</v>
      </c>
      <c r="N116" s="102"/>
      <c r="O116" s="198">
        <f t="shared" si="27"/>
        <v>0.5</v>
      </c>
      <c r="P116" s="199">
        <f t="shared" si="28"/>
        <v>6.0145136960522425</v>
      </c>
      <c r="Q116" s="200">
        <f t="shared" si="39"/>
        <v>35068.328742324382</v>
      </c>
      <c r="R116" s="200">
        <f t="shared" si="40"/>
        <v>31834.41274581835</v>
      </c>
      <c r="S116" s="200">
        <f t="shared" si="41"/>
        <v>25619.768345452176</v>
      </c>
      <c r="T116" s="201">
        <f t="shared" si="42"/>
        <v>17072.866739143268</v>
      </c>
      <c r="U116" s="102"/>
      <c r="V116" s="198">
        <f t="shared" si="29"/>
        <v>0.5</v>
      </c>
      <c r="W116" s="199">
        <f t="shared" si="30"/>
        <v>6.0145136960522425</v>
      </c>
      <c r="X116" s="200">
        <f t="shared" si="43"/>
        <v>0</v>
      </c>
      <c r="Y116" s="200">
        <f t="shared" si="44"/>
        <v>0</v>
      </c>
      <c r="Z116" s="200">
        <f t="shared" si="45"/>
        <v>0</v>
      </c>
      <c r="AA116" s="201">
        <f t="shared" si="46"/>
        <v>0</v>
      </c>
      <c r="AB116" s="102"/>
    </row>
    <row r="117" spans="1:28" x14ac:dyDescent="0.25">
      <c r="A117" s="198">
        <f t="shared" si="24"/>
        <v>0.55000000000000004</v>
      </c>
      <c r="B117" s="199">
        <f t="shared" si="24"/>
        <v>6.6159650656574671</v>
      </c>
      <c r="C117" s="200">
        <f t="shared" si="31"/>
        <v>31824.508333659382</v>
      </c>
      <c r="D117" s="200">
        <f t="shared" si="32"/>
        <v>28889.729566830156</v>
      </c>
      <c r="E117" s="200">
        <f t="shared" si="33"/>
        <v>23249.939773497856</v>
      </c>
      <c r="F117" s="201">
        <f t="shared" si="34"/>
        <v>15493.626565772522</v>
      </c>
      <c r="G117" s="102"/>
      <c r="H117" s="198">
        <f t="shared" si="25"/>
        <v>0.55000000000000004</v>
      </c>
      <c r="I117" s="199">
        <f t="shared" si="26"/>
        <v>6.6159650656574671</v>
      </c>
      <c r="J117" s="200">
        <f t="shared" si="35"/>
        <v>26520.423611382816</v>
      </c>
      <c r="K117" s="200">
        <f t="shared" si="36"/>
        <v>24074.77463902513</v>
      </c>
      <c r="L117" s="200">
        <f t="shared" si="37"/>
        <v>19374.949811248214</v>
      </c>
      <c r="M117" s="201">
        <f t="shared" si="38"/>
        <v>12911.3554714771</v>
      </c>
      <c r="N117" s="102"/>
      <c r="O117" s="198">
        <f t="shared" si="27"/>
        <v>0.55000000000000004</v>
      </c>
      <c r="P117" s="199">
        <f t="shared" si="28"/>
        <v>6.6159650656574671</v>
      </c>
      <c r="Q117" s="200">
        <f t="shared" si="39"/>
        <v>42432.677778212499</v>
      </c>
      <c r="R117" s="200">
        <f t="shared" si="40"/>
        <v>38519.639422440203</v>
      </c>
      <c r="S117" s="200">
        <f t="shared" si="41"/>
        <v>30999.919697997142</v>
      </c>
      <c r="T117" s="201">
        <f t="shared" si="42"/>
        <v>20658.16875436336</v>
      </c>
      <c r="U117" s="102"/>
      <c r="V117" s="198">
        <f t="shared" si="29"/>
        <v>0.55000000000000004</v>
      </c>
      <c r="W117" s="199">
        <f t="shared" si="30"/>
        <v>6.6159650656574671</v>
      </c>
      <c r="X117" s="200">
        <f t="shared" si="43"/>
        <v>0</v>
      </c>
      <c r="Y117" s="200">
        <f t="shared" si="44"/>
        <v>0</v>
      </c>
      <c r="Z117" s="200">
        <f t="shared" si="45"/>
        <v>0</v>
      </c>
      <c r="AA117" s="201">
        <f t="shared" si="46"/>
        <v>0</v>
      </c>
      <c r="AB117" s="102"/>
    </row>
    <row r="118" spans="1:28" ht="13.8" thickBot="1" x14ac:dyDescent="0.3">
      <c r="A118" s="202">
        <f t="shared" si="24"/>
        <v>0.6</v>
      </c>
      <c r="B118" s="203">
        <f t="shared" si="24"/>
        <v>7.2174164352626908</v>
      </c>
      <c r="C118" s="204">
        <f t="shared" si="31"/>
        <v>37873.795041710327</v>
      </c>
      <c r="D118" s="204">
        <f t="shared" si="32"/>
        <v>34381.16576548382</v>
      </c>
      <c r="E118" s="204">
        <f t="shared" si="33"/>
        <v>27669.349813088349</v>
      </c>
      <c r="F118" s="205">
        <f t="shared" si="34"/>
        <v>18438.69607827473</v>
      </c>
      <c r="G118" s="102"/>
      <c r="H118" s="202">
        <f t="shared" si="25"/>
        <v>0.6</v>
      </c>
      <c r="I118" s="203">
        <f t="shared" si="26"/>
        <v>7.2174164352626908</v>
      </c>
      <c r="J118" s="204">
        <f t="shared" si="35"/>
        <v>31561.495868091937</v>
      </c>
      <c r="K118" s="204">
        <f t="shared" si="36"/>
        <v>28650.971471236513</v>
      </c>
      <c r="L118" s="204">
        <f t="shared" si="37"/>
        <v>23057.791510906954</v>
      </c>
      <c r="M118" s="205">
        <f t="shared" si="38"/>
        <v>15365.580065228942</v>
      </c>
      <c r="N118" s="102"/>
      <c r="O118" s="202">
        <f t="shared" si="27"/>
        <v>0.6</v>
      </c>
      <c r="P118" s="203">
        <f t="shared" si="28"/>
        <v>7.2174164352626908</v>
      </c>
      <c r="Q118" s="204">
        <f t="shared" si="39"/>
        <v>50498.393388947094</v>
      </c>
      <c r="R118" s="204">
        <f t="shared" si="40"/>
        <v>45841.554353978419</v>
      </c>
      <c r="S118" s="204">
        <f t="shared" si="41"/>
        <v>36892.466417451134</v>
      </c>
      <c r="T118" s="205">
        <f t="shared" si="42"/>
        <v>24584.928104366307</v>
      </c>
      <c r="U118" s="102"/>
      <c r="V118" s="202">
        <f t="shared" si="29"/>
        <v>0.6</v>
      </c>
      <c r="W118" s="203">
        <f t="shared" si="30"/>
        <v>7.2174164352626908</v>
      </c>
      <c r="X118" s="204">
        <f t="shared" si="43"/>
        <v>0</v>
      </c>
      <c r="Y118" s="204">
        <f t="shared" si="44"/>
        <v>0</v>
      </c>
      <c r="Z118" s="204">
        <f t="shared" si="45"/>
        <v>0</v>
      </c>
      <c r="AA118" s="205">
        <f t="shared" si="46"/>
        <v>0</v>
      </c>
      <c r="AB118" s="102"/>
    </row>
    <row r="119" spans="1:28" ht="13.8" thickBot="1" x14ac:dyDescent="0.3">
      <c r="G119" s="102"/>
      <c r="N119" s="102"/>
      <c r="U119" s="102"/>
      <c r="AB119" s="102"/>
    </row>
    <row r="120" spans="1:28" ht="13.8" thickBot="1" x14ac:dyDescent="0.3">
      <c r="A120" s="206" t="s">
        <v>233</v>
      </c>
      <c r="B120" s="207"/>
      <c r="C120" s="207"/>
      <c r="D120" s="208" t="str">
        <f t="shared" ref="D120:F121" si="47">D106</f>
        <v>Yaw Angle X =</v>
      </c>
      <c r="E120" s="265">
        <f t="shared" si="47"/>
        <v>3</v>
      </c>
      <c r="F120" s="209" t="str">
        <f t="shared" si="47"/>
        <v>Degrees</v>
      </c>
      <c r="G120" s="102"/>
      <c r="H120" s="206" t="s">
        <v>233</v>
      </c>
      <c r="I120" s="207"/>
      <c r="J120" s="207"/>
      <c r="K120" s="208" t="str">
        <f t="shared" ref="K120:M121" si="48">K106</f>
        <v>Yaw Angle X =</v>
      </c>
      <c r="L120" s="265">
        <f t="shared" si="48"/>
        <v>2.5</v>
      </c>
      <c r="M120" s="209" t="str">
        <f t="shared" si="48"/>
        <v>Degrees</v>
      </c>
      <c r="N120" s="102"/>
      <c r="O120" s="206" t="s">
        <v>233</v>
      </c>
      <c r="P120" s="207"/>
      <c r="Q120" s="207"/>
      <c r="R120" s="208" t="str">
        <f t="shared" ref="R120:T121" si="49">R106</f>
        <v>Yaw Angle X =</v>
      </c>
      <c r="S120" s="265">
        <f t="shared" si="49"/>
        <v>4</v>
      </c>
      <c r="T120" s="209" t="str">
        <f t="shared" si="49"/>
        <v>Degrees</v>
      </c>
      <c r="U120" s="102"/>
      <c r="V120" s="206" t="s">
        <v>233</v>
      </c>
      <c r="W120" s="207"/>
      <c r="X120" s="207"/>
      <c r="Y120" s="208" t="str">
        <f t="shared" ref="Y120:AA121" si="50">Y106</f>
        <v>Yaw Angle X =</v>
      </c>
      <c r="Z120" s="265">
        <f t="shared" si="50"/>
        <v>0</v>
      </c>
      <c r="AA120" s="209" t="str">
        <f t="shared" si="50"/>
        <v>Degrees</v>
      </c>
      <c r="AB120" s="102"/>
    </row>
    <row r="121" spans="1:28" ht="13.8" thickBot="1" x14ac:dyDescent="0.3">
      <c r="A121" s="194" t="str">
        <f>A107</f>
        <v>Froude No</v>
      </c>
      <c r="B121" s="195" t="str">
        <f>B107</f>
        <v>Boat Speed</v>
      </c>
      <c r="C121" s="195" t="str">
        <f>C107</f>
        <v>0 Degs heel</v>
      </c>
      <c r="D121" s="195" t="str">
        <f t="shared" si="47"/>
        <v xml:space="preserve">10 Degs Heel </v>
      </c>
      <c r="E121" s="195" t="str">
        <f t="shared" si="47"/>
        <v>20 Degs Heel</v>
      </c>
      <c r="F121" s="210" t="str">
        <f t="shared" si="47"/>
        <v>30 Degs Heel</v>
      </c>
      <c r="G121" s="102"/>
      <c r="H121" s="194" t="str">
        <f>H107</f>
        <v>Froude No</v>
      </c>
      <c r="I121" s="195" t="str">
        <f>I107</f>
        <v>Boat Speed</v>
      </c>
      <c r="J121" s="195" t="str">
        <f>J107</f>
        <v>0 Degs heel</v>
      </c>
      <c r="K121" s="195" t="str">
        <f t="shared" si="48"/>
        <v xml:space="preserve">10 Degs Heel </v>
      </c>
      <c r="L121" s="195" t="str">
        <f t="shared" si="48"/>
        <v>20 Degs Heel</v>
      </c>
      <c r="M121" s="210" t="str">
        <f t="shared" si="48"/>
        <v>30 Degs Heel</v>
      </c>
      <c r="N121" s="102"/>
      <c r="O121" s="194" t="str">
        <f>O107</f>
        <v>Froude No</v>
      </c>
      <c r="P121" s="195" t="str">
        <f>P107</f>
        <v>Boat Speed</v>
      </c>
      <c r="Q121" s="195" t="str">
        <f>Q107</f>
        <v>0 Degs heel</v>
      </c>
      <c r="R121" s="195" t="str">
        <f t="shared" si="49"/>
        <v xml:space="preserve">10 Degs Heel </v>
      </c>
      <c r="S121" s="195" t="str">
        <f t="shared" si="49"/>
        <v>20 Degs Heel</v>
      </c>
      <c r="T121" s="210" t="str">
        <f t="shared" si="49"/>
        <v>30 Degs Heel</v>
      </c>
      <c r="U121" s="102"/>
      <c r="V121" s="194" t="str">
        <f>V107</f>
        <v>Froude No</v>
      </c>
      <c r="W121" s="195" t="str">
        <f>W107</f>
        <v>Boat Speed</v>
      </c>
      <c r="X121" s="195" t="str">
        <f>X107</f>
        <v>0 Degs heel</v>
      </c>
      <c r="Y121" s="195" t="str">
        <f t="shared" si="50"/>
        <v xml:space="preserve">10 Degs Heel </v>
      </c>
      <c r="Z121" s="195" t="str">
        <f t="shared" si="50"/>
        <v>20 Degs Heel</v>
      </c>
      <c r="AA121" s="210" t="str">
        <f t="shared" si="50"/>
        <v>30 Degs Heel</v>
      </c>
      <c r="AB121" s="102"/>
    </row>
    <row r="122" spans="1:28" x14ac:dyDescent="0.25">
      <c r="A122" s="198">
        <f t="shared" ref="A122:B132" si="51">A108</f>
        <v>0.1</v>
      </c>
      <c r="B122" s="199">
        <f t="shared" si="51"/>
        <v>1.2029027392104485</v>
      </c>
      <c r="C122" s="200">
        <f t="shared" ref="C122:C132" si="52">C108^2/(3.14159*($B$11+$G$10)^2*(0.5*$G$4*B122^2))</f>
        <v>54.860968522659498</v>
      </c>
      <c r="D122" s="200">
        <f t="shared" ref="D122:D132" si="53">D108^2/(3.14159*($B$91)^2*(0.5*$G$4*B122^2))</f>
        <v>72.714189619861429</v>
      </c>
      <c r="E122" s="200">
        <f t="shared" ref="E122:E132" si="54">E108^2/(3.14159*($C$91)^2*(0.5*$G$4*B122^2))</f>
        <v>51.288683322069993</v>
      </c>
      <c r="F122" s="201">
        <f t="shared" ref="F122:F132" si="55">F108^2/(3.14159*($D$91)^2*(0.5*$G$4*B122^2))</f>
        <v>28.251298014477925</v>
      </c>
      <c r="G122" s="102"/>
      <c r="H122" s="198">
        <f t="shared" ref="H122:I132" si="56">H108</f>
        <v>0.1</v>
      </c>
      <c r="I122" s="199">
        <f t="shared" si="56"/>
        <v>1.2029027392104485</v>
      </c>
      <c r="J122" s="200">
        <f t="shared" ref="J122:J132" si="57">J108^2/(3.14159*($B$11+$G$10)^2*(0.5*$G$4*I122^2))</f>
        <v>38.097894807402426</v>
      </c>
      <c r="K122" s="200">
        <f t="shared" ref="K122:K132" si="58">K108^2/(3.14159*($B$91)^2*(0.5*$G$4*I122^2))</f>
        <v>50.495965013792656</v>
      </c>
      <c r="L122" s="200">
        <f t="shared" ref="L122:L132" si="59">L108^2/(3.14159*($C$91)^2*(0.5*$G$4*I122^2))</f>
        <v>35.617141195881942</v>
      </c>
      <c r="M122" s="201">
        <f t="shared" ref="M122:M132" si="60">M108^2/(3.14159*($D$91)^2*(0.5*$G$4*I122^2))</f>
        <v>19.618956954498561</v>
      </c>
      <c r="N122" s="102"/>
      <c r="O122" s="198">
        <f t="shared" ref="O122:P132" si="61">O108</f>
        <v>0.1</v>
      </c>
      <c r="P122" s="199">
        <f t="shared" si="61"/>
        <v>1.2029027392104485</v>
      </c>
      <c r="Q122" s="200">
        <f t="shared" ref="Q122:Q132" si="62">Q108^2/(3.14159*($B$11+$G$10)^2*(0.5*$G$4*P122^2))</f>
        <v>97.530610706950227</v>
      </c>
      <c r="R122" s="200">
        <f t="shared" ref="R122:R132" si="63">R108^2/(3.14159*($B$91)^2*(0.5*$G$4*P122^2))</f>
        <v>129.26967043530919</v>
      </c>
      <c r="S122" s="200">
        <f t="shared" ref="S122:S132" si="64">S108^2/(3.14159*($C$91)^2*(0.5*$G$4*P122^2))</f>
        <v>91.179881461457796</v>
      </c>
      <c r="T122" s="201">
        <f t="shared" ref="T122:T132" si="65">T108^2/(3.14159*($D$91)^2*(0.5*$G$4*P122^2))</f>
        <v>50.224529803516319</v>
      </c>
      <c r="U122" s="102"/>
      <c r="V122" s="198">
        <f t="shared" ref="V122:W132" si="66">V108</f>
        <v>0.1</v>
      </c>
      <c r="W122" s="199">
        <f t="shared" si="66"/>
        <v>1.2029027392104485</v>
      </c>
      <c r="X122" s="200">
        <f t="shared" ref="X122:X132" si="67">X108^2/(3.14159*($B$11+$G$10)^2*(0.5*$G$4*W122^2))</f>
        <v>0</v>
      </c>
      <c r="Y122" s="200">
        <f t="shared" ref="Y122:Y132" si="68">Y108^2/(3.14159*($B$91)^2*(0.5*$G$4*W122^2))</f>
        <v>0</v>
      </c>
      <c r="Z122" s="200">
        <f t="shared" ref="Z122:Z132" si="69">Z108^2/(3.14159*($C$91)^2*(0.5*$G$4*W122^2))</f>
        <v>0</v>
      </c>
      <c r="AA122" s="201">
        <f t="shared" ref="AA122:AA132" si="70">AA108^2/(3.14159*($D$91)^2*(0.5*$G$4*W122^2))</f>
        <v>0</v>
      </c>
      <c r="AB122" s="102"/>
    </row>
    <row r="123" spans="1:28" x14ac:dyDescent="0.25">
      <c r="A123" s="198">
        <f t="shared" si="51"/>
        <v>0.15</v>
      </c>
      <c r="B123" s="199">
        <f t="shared" si="51"/>
        <v>1.8043541088156727</v>
      </c>
      <c r="C123" s="200">
        <f t="shared" si="52"/>
        <v>123.4371791759839</v>
      </c>
      <c r="D123" s="200">
        <f t="shared" si="53"/>
        <v>163.60692664468826</v>
      </c>
      <c r="E123" s="200">
        <f t="shared" si="54"/>
        <v>115.39953747465752</v>
      </c>
      <c r="F123" s="201">
        <f t="shared" si="55"/>
        <v>63.565420532575345</v>
      </c>
      <c r="G123" s="102"/>
      <c r="H123" s="198">
        <f t="shared" si="56"/>
        <v>0.15</v>
      </c>
      <c r="I123" s="199">
        <f t="shared" si="56"/>
        <v>1.8043541088156727</v>
      </c>
      <c r="J123" s="200">
        <f t="shared" si="57"/>
        <v>85.720263316655462</v>
      </c>
      <c r="K123" s="200">
        <f t="shared" si="58"/>
        <v>113.61592128103349</v>
      </c>
      <c r="L123" s="200">
        <f t="shared" si="59"/>
        <v>80.138567690734376</v>
      </c>
      <c r="M123" s="201">
        <f t="shared" si="60"/>
        <v>44.142653147621765</v>
      </c>
      <c r="N123" s="102"/>
      <c r="O123" s="198">
        <f t="shared" si="61"/>
        <v>0.15</v>
      </c>
      <c r="P123" s="199">
        <f t="shared" si="61"/>
        <v>1.8043541088156727</v>
      </c>
      <c r="Q123" s="200">
        <f t="shared" si="62"/>
        <v>219.44387409063796</v>
      </c>
      <c r="R123" s="200">
        <f t="shared" si="63"/>
        <v>290.85675847944572</v>
      </c>
      <c r="S123" s="200">
        <f t="shared" si="64"/>
        <v>205.15473328828008</v>
      </c>
      <c r="T123" s="201">
        <f t="shared" si="65"/>
        <v>113.00519205791171</v>
      </c>
      <c r="U123" s="102"/>
      <c r="V123" s="198">
        <f t="shared" si="66"/>
        <v>0.15</v>
      </c>
      <c r="W123" s="199">
        <f t="shared" si="66"/>
        <v>1.8043541088156727</v>
      </c>
      <c r="X123" s="200">
        <f t="shared" si="67"/>
        <v>0</v>
      </c>
      <c r="Y123" s="200">
        <f t="shared" si="68"/>
        <v>0</v>
      </c>
      <c r="Z123" s="200">
        <f t="shared" si="69"/>
        <v>0</v>
      </c>
      <c r="AA123" s="201">
        <f t="shared" si="70"/>
        <v>0</v>
      </c>
      <c r="AB123" s="102"/>
    </row>
    <row r="124" spans="1:28" x14ac:dyDescent="0.25">
      <c r="A124" s="198">
        <f t="shared" si="51"/>
        <v>0.2</v>
      </c>
      <c r="B124" s="199">
        <f t="shared" si="51"/>
        <v>2.4058054784208971</v>
      </c>
      <c r="C124" s="200">
        <f t="shared" si="52"/>
        <v>219.44387409063799</v>
      </c>
      <c r="D124" s="200">
        <f t="shared" si="53"/>
        <v>290.85675847944572</v>
      </c>
      <c r="E124" s="200">
        <f t="shared" si="54"/>
        <v>205.15473328827997</v>
      </c>
      <c r="F124" s="201">
        <f t="shared" si="55"/>
        <v>113.0051920579117</v>
      </c>
      <c r="G124" s="102"/>
      <c r="H124" s="198">
        <f t="shared" si="56"/>
        <v>0.2</v>
      </c>
      <c r="I124" s="199">
        <f t="shared" si="56"/>
        <v>2.4058054784208971</v>
      </c>
      <c r="J124" s="200">
        <f t="shared" si="57"/>
        <v>152.3915792296097</v>
      </c>
      <c r="K124" s="200">
        <f t="shared" si="58"/>
        <v>201.98386005517062</v>
      </c>
      <c r="L124" s="200">
        <f t="shared" si="59"/>
        <v>142.46856478352777</v>
      </c>
      <c r="M124" s="201">
        <f t="shared" si="60"/>
        <v>78.475827817994244</v>
      </c>
      <c r="N124" s="102"/>
      <c r="O124" s="198">
        <f t="shared" si="61"/>
        <v>0.2</v>
      </c>
      <c r="P124" s="199">
        <f t="shared" si="61"/>
        <v>2.4058054784208971</v>
      </c>
      <c r="Q124" s="200">
        <f t="shared" si="62"/>
        <v>390.12244282780091</v>
      </c>
      <c r="R124" s="200">
        <f t="shared" si="63"/>
        <v>517.07868174123678</v>
      </c>
      <c r="S124" s="200">
        <f t="shared" si="64"/>
        <v>364.71952584583119</v>
      </c>
      <c r="T124" s="201">
        <f t="shared" si="65"/>
        <v>200.89811921406528</v>
      </c>
      <c r="U124" s="102"/>
      <c r="V124" s="198">
        <f t="shared" si="66"/>
        <v>0.2</v>
      </c>
      <c r="W124" s="199">
        <f t="shared" si="66"/>
        <v>2.4058054784208971</v>
      </c>
      <c r="X124" s="200">
        <f t="shared" si="67"/>
        <v>0</v>
      </c>
      <c r="Y124" s="200">
        <f t="shared" si="68"/>
        <v>0</v>
      </c>
      <c r="Z124" s="200">
        <f t="shared" si="69"/>
        <v>0</v>
      </c>
      <c r="AA124" s="201">
        <f t="shared" si="70"/>
        <v>0</v>
      </c>
      <c r="AB124" s="102"/>
    </row>
    <row r="125" spans="1:28" x14ac:dyDescent="0.25">
      <c r="A125" s="198">
        <f t="shared" si="51"/>
        <v>0.25</v>
      </c>
      <c r="B125" s="199">
        <f t="shared" si="51"/>
        <v>3.0072568480261213</v>
      </c>
      <c r="C125" s="200">
        <f t="shared" si="52"/>
        <v>342.88105326662202</v>
      </c>
      <c r="D125" s="200">
        <f t="shared" si="53"/>
        <v>454.46368512413397</v>
      </c>
      <c r="E125" s="200">
        <f t="shared" si="54"/>
        <v>320.55427076293751</v>
      </c>
      <c r="F125" s="201">
        <f t="shared" si="55"/>
        <v>176.57061259048706</v>
      </c>
      <c r="G125" s="102"/>
      <c r="H125" s="198">
        <f t="shared" si="56"/>
        <v>0.25</v>
      </c>
      <c r="I125" s="199">
        <f t="shared" si="56"/>
        <v>3.0072568480261213</v>
      </c>
      <c r="J125" s="200">
        <f t="shared" si="57"/>
        <v>238.11184254626531</v>
      </c>
      <c r="K125" s="200">
        <f t="shared" si="58"/>
        <v>315.5997813362041</v>
      </c>
      <c r="L125" s="200">
        <f t="shared" si="59"/>
        <v>222.60713247426213</v>
      </c>
      <c r="M125" s="201">
        <f t="shared" si="60"/>
        <v>122.61848096561599</v>
      </c>
      <c r="N125" s="102"/>
      <c r="O125" s="198">
        <f t="shared" si="61"/>
        <v>0.25</v>
      </c>
      <c r="P125" s="199">
        <f t="shared" si="61"/>
        <v>3.0072568480261213</v>
      </c>
      <c r="Q125" s="200">
        <f t="shared" si="62"/>
        <v>609.56631691843904</v>
      </c>
      <c r="R125" s="200">
        <f t="shared" si="63"/>
        <v>807.93544022068261</v>
      </c>
      <c r="S125" s="200">
        <f t="shared" si="64"/>
        <v>569.87425913411118</v>
      </c>
      <c r="T125" s="201">
        <f t="shared" si="65"/>
        <v>313.90331127197697</v>
      </c>
      <c r="U125" s="102"/>
      <c r="V125" s="198">
        <f t="shared" si="66"/>
        <v>0.25</v>
      </c>
      <c r="W125" s="199">
        <f t="shared" si="66"/>
        <v>3.0072568480261213</v>
      </c>
      <c r="X125" s="200">
        <f t="shared" si="67"/>
        <v>0</v>
      </c>
      <c r="Y125" s="200">
        <f t="shared" si="68"/>
        <v>0</v>
      </c>
      <c r="Z125" s="200">
        <f t="shared" si="69"/>
        <v>0</v>
      </c>
      <c r="AA125" s="201">
        <f t="shared" si="70"/>
        <v>0</v>
      </c>
      <c r="AB125" s="102"/>
    </row>
    <row r="126" spans="1:28" x14ac:dyDescent="0.25">
      <c r="A126" s="198">
        <f t="shared" si="51"/>
        <v>0.3</v>
      </c>
      <c r="B126" s="199">
        <f t="shared" si="51"/>
        <v>3.6087082176313454</v>
      </c>
      <c r="C126" s="200">
        <f t="shared" si="52"/>
        <v>493.7487167039356</v>
      </c>
      <c r="D126" s="200">
        <f t="shared" si="53"/>
        <v>654.42770657875303</v>
      </c>
      <c r="E126" s="200">
        <f t="shared" si="54"/>
        <v>461.59814989863008</v>
      </c>
      <c r="F126" s="201">
        <f t="shared" si="55"/>
        <v>254.26168213030138</v>
      </c>
      <c r="G126" s="102"/>
      <c r="H126" s="198">
        <f t="shared" si="56"/>
        <v>0.3</v>
      </c>
      <c r="I126" s="199">
        <f t="shared" si="56"/>
        <v>3.6087082176313454</v>
      </c>
      <c r="J126" s="200">
        <f t="shared" si="57"/>
        <v>342.88105326662185</v>
      </c>
      <c r="K126" s="200">
        <f t="shared" si="58"/>
        <v>454.46368512413397</v>
      </c>
      <c r="L126" s="200">
        <f t="shared" si="59"/>
        <v>320.55427076293751</v>
      </c>
      <c r="M126" s="201">
        <f t="shared" si="60"/>
        <v>176.57061259048706</v>
      </c>
      <c r="N126" s="102"/>
      <c r="O126" s="198">
        <f t="shared" si="61"/>
        <v>0.3</v>
      </c>
      <c r="P126" s="199">
        <f t="shared" si="61"/>
        <v>3.6087082176313454</v>
      </c>
      <c r="Q126" s="200">
        <f t="shared" si="62"/>
        <v>877.77549636255185</v>
      </c>
      <c r="R126" s="200">
        <f t="shared" si="63"/>
        <v>1163.4270339177829</v>
      </c>
      <c r="S126" s="200">
        <f t="shared" si="64"/>
        <v>820.61893315312034</v>
      </c>
      <c r="T126" s="201">
        <f t="shared" si="65"/>
        <v>452.02076823164685</v>
      </c>
      <c r="U126" s="102"/>
      <c r="V126" s="198">
        <f t="shared" si="66"/>
        <v>0.3</v>
      </c>
      <c r="W126" s="199">
        <f t="shared" si="66"/>
        <v>3.6087082176313454</v>
      </c>
      <c r="X126" s="200">
        <f t="shared" si="67"/>
        <v>0</v>
      </c>
      <c r="Y126" s="200">
        <f t="shared" si="68"/>
        <v>0</v>
      </c>
      <c r="Z126" s="200">
        <f t="shared" si="69"/>
        <v>0</v>
      </c>
      <c r="AA126" s="201">
        <f t="shared" si="70"/>
        <v>0</v>
      </c>
      <c r="AB126" s="102"/>
    </row>
    <row r="127" spans="1:28" x14ac:dyDescent="0.25">
      <c r="A127" s="198">
        <f t="shared" si="51"/>
        <v>0.35</v>
      </c>
      <c r="B127" s="199">
        <f t="shared" si="51"/>
        <v>4.2101595872365696</v>
      </c>
      <c r="C127" s="200">
        <f t="shared" si="52"/>
        <v>672.04686440257899</v>
      </c>
      <c r="D127" s="200">
        <f t="shared" si="53"/>
        <v>890.74882284330226</v>
      </c>
      <c r="E127" s="200">
        <f t="shared" si="54"/>
        <v>628.2863706953575</v>
      </c>
      <c r="F127" s="201">
        <f t="shared" si="55"/>
        <v>346.07840067735464</v>
      </c>
      <c r="G127" s="102"/>
      <c r="H127" s="198">
        <f t="shared" si="56"/>
        <v>0.35</v>
      </c>
      <c r="I127" s="199">
        <f t="shared" si="56"/>
        <v>4.2101595872365696</v>
      </c>
      <c r="J127" s="200">
        <f t="shared" si="57"/>
        <v>466.69921139067969</v>
      </c>
      <c r="K127" s="200">
        <f t="shared" si="58"/>
        <v>618.57557141896007</v>
      </c>
      <c r="L127" s="200">
        <f t="shared" si="59"/>
        <v>436.30997964955361</v>
      </c>
      <c r="M127" s="201">
        <f t="shared" si="60"/>
        <v>240.33222269260733</v>
      </c>
      <c r="N127" s="102"/>
      <c r="O127" s="198">
        <f t="shared" si="61"/>
        <v>0.35</v>
      </c>
      <c r="P127" s="199">
        <f t="shared" si="61"/>
        <v>4.2101595872365696</v>
      </c>
      <c r="Q127" s="200">
        <f t="shared" si="62"/>
        <v>1194.7499811601404</v>
      </c>
      <c r="R127" s="200">
        <f t="shared" si="63"/>
        <v>1583.5534628325374</v>
      </c>
      <c r="S127" s="200">
        <f t="shared" si="64"/>
        <v>1116.9535479028575</v>
      </c>
      <c r="T127" s="201">
        <f t="shared" si="65"/>
        <v>615.25049009307475</v>
      </c>
      <c r="U127" s="102"/>
      <c r="V127" s="198">
        <f t="shared" si="66"/>
        <v>0.35</v>
      </c>
      <c r="W127" s="199">
        <f t="shared" si="66"/>
        <v>4.2101595872365696</v>
      </c>
      <c r="X127" s="200">
        <f t="shared" si="67"/>
        <v>0</v>
      </c>
      <c r="Y127" s="200">
        <f t="shared" si="68"/>
        <v>0</v>
      </c>
      <c r="Z127" s="200">
        <f t="shared" si="69"/>
        <v>0</v>
      </c>
      <c r="AA127" s="201">
        <f t="shared" si="70"/>
        <v>0</v>
      </c>
      <c r="AB127" s="102"/>
    </row>
    <row r="128" spans="1:28" x14ac:dyDescent="0.25">
      <c r="A128" s="198">
        <f t="shared" si="51"/>
        <v>0.4</v>
      </c>
      <c r="B128" s="199">
        <f t="shared" si="51"/>
        <v>4.8116109568417942</v>
      </c>
      <c r="C128" s="200">
        <f t="shared" si="52"/>
        <v>877.77549636255196</v>
      </c>
      <c r="D128" s="200">
        <f t="shared" si="53"/>
        <v>1163.4270339177829</v>
      </c>
      <c r="E128" s="200">
        <f t="shared" si="54"/>
        <v>820.61893315311988</v>
      </c>
      <c r="F128" s="201">
        <f t="shared" si="55"/>
        <v>452.0207682316468</v>
      </c>
      <c r="G128" s="102"/>
      <c r="H128" s="198">
        <f t="shared" si="56"/>
        <v>0.4</v>
      </c>
      <c r="I128" s="199">
        <f t="shared" si="56"/>
        <v>4.8116109568417942</v>
      </c>
      <c r="J128" s="200">
        <f t="shared" si="57"/>
        <v>609.56631691843882</v>
      </c>
      <c r="K128" s="200">
        <f t="shared" si="58"/>
        <v>807.93544022068249</v>
      </c>
      <c r="L128" s="200">
        <f t="shared" si="59"/>
        <v>569.87425913411107</v>
      </c>
      <c r="M128" s="201">
        <f t="shared" si="60"/>
        <v>313.90331127197697</v>
      </c>
      <c r="N128" s="102"/>
      <c r="O128" s="198">
        <f t="shared" si="61"/>
        <v>0.4</v>
      </c>
      <c r="P128" s="199">
        <f t="shared" si="61"/>
        <v>4.8116109568417942</v>
      </c>
      <c r="Q128" s="200">
        <f t="shared" si="62"/>
        <v>1560.4897713112036</v>
      </c>
      <c r="R128" s="200">
        <f t="shared" si="63"/>
        <v>2068.3147269649471</v>
      </c>
      <c r="S128" s="200">
        <f t="shared" si="64"/>
        <v>1458.8781033833247</v>
      </c>
      <c r="T128" s="201">
        <f t="shared" si="65"/>
        <v>803.5924768562611</v>
      </c>
      <c r="U128" s="102"/>
      <c r="V128" s="198">
        <f t="shared" si="66"/>
        <v>0.4</v>
      </c>
      <c r="W128" s="199">
        <f t="shared" si="66"/>
        <v>4.8116109568417942</v>
      </c>
      <c r="X128" s="200">
        <f t="shared" si="67"/>
        <v>0</v>
      </c>
      <c r="Y128" s="200">
        <f t="shared" si="68"/>
        <v>0</v>
      </c>
      <c r="Z128" s="200">
        <f t="shared" si="69"/>
        <v>0</v>
      </c>
      <c r="AA128" s="201">
        <f t="shared" si="70"/>
        <v>0</v>
      </c>
      <c r="AB128" s="102"/>
    </row>
    <row r="129" spans="1:28" x14ac:dyDescent="0.25">
      <c r="A129" s="198">
        <f t="shared" si="51"/>
        <v>0.45</v>
      </c>
      <c r="B129" s="199">
        <f t="shared" si="51"/>
        <v>5.4130623264470188</v>
      </c>
      <c r="C129" s="200">
        <f t="shared" si="52"/>
        <v>1110.9346125838551</v>
      </c>
      <c r="D129" s="200">
        <f t="shared" si="53"/>
        <v>1472.4623398021943</v>
      </c>
      <c r="E129" s="200">
        <f t="shared" si="54"/>
        <v>1038.5958372719176</v>
      </c>
      <c r="F129" s="201">
        <f t="shared" si="55"/>
        <v>572.08878479317821</v>
      </c>
      <c r="G129" s="102"/>
      <c r="H129" s="198">
        <f t="shared" si="56"/>
        <v>0.45</v>
      </c>
      <c r="I129" s="199">
        <f t="shared" si="56"/>
        <v>5.4130623264470188</v>
      </c>
      <c r="J129" s="200">
        <f t="shared" si="57"/>
        <v>771.48236984989921</v>
      </c>
      <c r="K129" s="200">
        <f t="shared" si="58"/>
        <v>1022.5432915293014</v>
      </c>
      <c r="L129" s="200">
        <f t="shared" si="59"/>
        <v>721.24710921660949</v>
      </c>
      <c r="M129" s="201">
        <f t="shared" si="60"/>
        <v>397.28387832859607</v>
      </c>
      <c r="N129" s="102"/>
      <c r="O129" s="198">
        <f t="shared" si="61"/>
        <v>0.45</v>
      </c>
      <c r="P129" s="199">
        <f t="shared" si="61"/>
        <v>5.4130623264470188</v>
      </c>
      <c r="Q129" s="200">
        <f t="shared" si="62"/>
        <v>1974.9948668157429</v>
      </c>
      <c r="R129" s="200">
        <f t="shared" si="63"/>
        <v>2617.7108263150112</v>
      </c>
      <c r="S129" s="200">
        <f t="shared" si="64"/>
        <v>1846.3925995945203</v>
      </c>
      <c r="T129" s="201">
        <f t="shared" si="65"/>
        <v>1017.0467285212061</v>
      </c>
      <c r="U129" s="102"/>
      <c r="V129" s="198">
        <f t="shared" si="66"/>
        <v>0.45</v>
      </c>
      <c r="W129" s="199">
        <f t="shared" si="66"/>
        <v>5.4130623264470188</v>
      </c>
      <c r="X129" s="200">
        <f t="shared" si="67"/>
        <v>0</v>
      </c>
      <c r="Y129" s="200">
        <f t="shared" si="68"/>
        <v>0</v>
      </c>
      <c r="Z129" s="200">
        <f t="shared" si="69"/>
        <v>0</v>
      </c>
      <c r="AA129" s="201">
        <f t="shared" si="70"/>
        <v>0</v>
      </c>
      <c r="AB129" s="102"/>
    </row>
    <row r="130" spans="1:28" x14ac:dyDescent="0.25">
      <c r="A130" s="198">
        <f t="shared" si="51"/>
        <v>0.5</v>
      </c>
      <c r="B130" s="199">
        <f t="shared" si="51"/>
        <v>6.0145136960522425</v>
      </c>
      <c r="C130" s="200">
        <f t="shared" si="52"/>
        <v>1371.5242130664881</v>
      </c>
      <c r="D130" s="200">
        <f t="shared" si="53"/>
        <v>1817.8547404965359</v>
      </c>
      <c r="E130" s="200">
        <f t="shared" si="54"/>
        <v>1282.21708305175</v>
      </c>
      <c r="F130" s="201">
        <f t="shared" si="55"/>
        <v>706.28245036194824</v>
      </c>
      <c r="G130" s="102"/>
      <c r="H130" s="198">
        <f t="shared" si="56"/>
        <v>0.5</v>
      </c>
      <c r="I130" s="199">
        <f t="shared" si="56"/>
        <v>6.0145136960522425</v>
      </c>
      <c r="J130" s="200">
        <f t="shared" si="57"/>
        <v>952.44737018506123</v>
      </c>
      <c r="K130" s="200">
        <f t="shared" si="58"/>
        <v>1262.3991253448164</v>
      </c>
      <c r="L130" s="200">
        <f t="shared" si="59"/>
        <v>890.42852989704852</v>
      </c>
      <c r="M130" s="201">
        <f t="shared" si="60"/>
        <v>490.47392386246395</v>
      </c>
      <c r="N130" s="102"/>
      <c r="O130" s="198">
        <f t="shared" si="61"/>
        <v>0.5</v>
      </c>
      <c r="P130" s="199">
        <f t="shared" si="61"/>
        <v>6.0145136960522425</v>
      </c>
      <c r="Q130" s="200">
        <f t="shared" si="62"/>
        <v>2438.2652676737562</v>
      </c>
      <c r="R130" s="200">
        <f t="shared" si="63"/>
        <v>3231.7417608827304</v>
      </c>
      <c r="S130" s="200">
        <f t="shared" si="64"/>
        <v>2279.4970365364447</v>
      </c>
      <c r="T130" s="201">
        <f t="shared" si="65"/>
        <v>1255.6132450879079</v>
      </c>
      <c r="U130" s="102"/>
      <c r="V130" s="198">
        <f t="shared" si="66"/>
        <v>0.5</v>
      </c>
      <c r="W130" s="199">
        <f t="shared" si="66"/>
        <v>6.0145136960522425</v>
      </c>
      <c r="X130" s="200">
        <f t="shared" si="67"/>
        <v>0</v>
      </c>
      <c r="Y130" s="200">
        <f t="shared" si="68"/>
        <v>0</v>
      </c>
      <c r="Z130" s="200">
        <f t="shared" si="69"/>
        <v>0</v>
      </c>
      <c r="AA130" s="201">
        <f t="shared" si="70"/>
        <v>0</v>
      </c>
      <c r="AB130" s="102"/>
    </row>
    <row r="131" spans="1:28" x14ac:dyDescent="0.25">
      <c r="A131" s="198">
        <f t="shared" si="51"/>
        <v>0.55000000000000004</v>
      </c>
      <c r="B131" s="199">
        <f t="shared" si="51"/>
        <v>6.6159650656574671</v>
      </c>
      <c r="C131" s="200">
        <f t="shared" si="52"/>
        <v>1659.5442978104506</v>
      </c>
      <c r="D131" s="200">
        <f t="shared" si="53"/>
        <v>2199.6042360008087</v>
      </c>
      <c r="E131" s="200">
        <f t="shared" si="54"/>
        <v>1551.4826704926184</v>
      </c>
      <c r="F131" s="201">
        <f t="shared" si="55"/>
        <v>854.6017649379578</v>
      </c>
      <c r="G131" s="102"/>
      <c r="H131" s="198">
        <f t="shared" si="56"/>
        <v>0.55000000000000004</v>
      </c>
      <c r="I131" s="199">
        <f t="shared" si="56"/>
        <v>6.6159650656574671</v>
      </c>
      <c r="J131" s="200">
        <f t="shared" si="57"/>
        <v>1152.4613179239238</v>
      </c>
      <c r="K131" s="200">
        <f t="shared" si="58"/>
        <v>1527.5029416672285</v>
      </c>
      <c r="L131" s="200">
        <f t="shared" si="59"/>
        <v>1077.4185211754295</v>
      </c>
      <c r="M131" s="201">
        <f t="shared" si="60"/>
        <v>593.47344787358156</v>
      </c>
      <c r="N131" s="102"/>
      <c r="O131" s="198">
        <f t="shared" si="61"/>
        <v>0.55000000000000004</v>
      </c>
      <c r="P131" s="199">
        <f t="shared" si="61"/>
        <v>6.6159650656574671</v>
      </c>
      <c r="Q131" s="200">
        <f t="shared" si="62"/>
        <v>2950.3009738852443</v>
      </c>
      <c r="R131" s="200">
        <f t="shared" si="63"/>
        <v>3910.4075306681034</v>
      </c>
      <c r="S131" s="200">
        <f t="shared" si="64"/>
        <v>2758.1914142091</v>
      </c>
      <c r="T131" s="201">
        <f t="shared" si="65"/>
        <v>1519.2920265563689</v>
      </c>
      <c r="U131" s="102"/>
      <c r="V131" s="198">
        <f t="shared" si="66"/>
        <v>0.55000000000000004</v>
      </c>
      <c r="W131" s="199">
        <f t="shared" si="66"/>
        <v>6.6159650656574671</v>
      </c>
      <c r="X131" s="200">
        <f t="shared" si="67"/>
        <v>0</v>
      </c>
      <c r="Y131" s="200">
        <f t="shared" si="68"/>
        <v>0</v>
      </c>
      <c r="Z131" s="200">
        <f t="shared" si="69"/>
        <v>0</v>
      </c>
      <c r="AA131" s="201">
        <f t="shared" si="70"/>
        <v>0</v>
      </c>
      <c r="AB131" s="102"/>
    </row>
    <row r="132" spans="1:28" ht="13.8" thickBot="1" x14ac:dyDescent="0.3">
      <c r="A132" s="202">
        <f t="shared" si="51"/>
        <v>0.6</v>
      </c>
      <c r="B132" s="203">
        <f t="shared" si="51"/>
        <v>7.2174164352626908</v>
      </c>
      <c r="C132" s="204">
        <f t="shared" si="52"/>
        <v>1974.9948668157424</v>
      </c>
      <c r="D132" s="204">
        <f t="shared" si="53"/>
        <v>2617.7108263150121</v>
      </c>
      <c r="E132" s="204">
        <f t="shared" si="54"/>
        <v>1846.3925995945203</v>
      </c>
      <c r="F132" s="205">
        <f t="shared" si="55"/>
        <v>1017.0467285212055</v>
      </c>
      <c r="G132" s="102"/>
      <c r="H132" s="202">
        <f t="shared" si="56"/>
        <v>0.6</v>
      </c>
      <c r="I132" s="203">
        <f t="shared" si="56"/>
        <v>7.2174164352626908</v>
      </c>
      <c r="J132" s="204">
        <f t="shared" si="57"/>
        <v>1371.5242130664874</v>
      </c>
      <c r="K132" s="204">
        <f t="shared" si="58"/>
        <v>1817.8547404965359</v>
      </c>
      <c r="L132" s="204">
        <f t="shared" si="59"/>
        <v>1282.21708305175</v>
      </c>
      <c r="M132" s="205">
        <f t="shared" si="60"/>
        <v>706.28245036194824</v>
      </c>
      <c r="N132" s="102"/>
      <c r="O132" s="202">
        <f t="shared" si="61"/>
        <v>0.6</v>
      </c>
      <c r="P132" s="203">
        <f t="shared" si="61"/>
        <v>7.2174164352626908</v>
      </c>
      <c r="Q132" s="204">
        <f t="shared" si="62"/>
        <v>3511.1019854502074</v>
      </c>
      <c r="R132" s="204">
        <f t="shared" si="63"/>
        <v>4653.7081356711315</v>
      </c>
      <c r="S132" s="204">
        <f t="shared" si="64"/>
        <v>3282.4757326124814</v>
      </c>
      <c r="T132" s="205">
        <f t="shared" si="65"/>
        <v>1808.0830729265874</v>
      </c>
      <c r="U132" s="102"/>
      <c r="V132" s="202">
        <f t="shared" si="66"/>
        <v>0.6</v>
      </c>
      <c r="W132" s="203">
        <f t="shared" si="66"/>
        <v>7.2174164352626908</v>
      </c>
      <c r="X132" s="204">
        <f t="shared" si="67"/>
        <v>0</v>
      </c>
      <c r="Y132" s="204">
        <f t="shared" si="68"/>
        <v>0</v>
      </c>
      <c r="Z132" s="204">
        <f t="shared" si="69"/>
        <v>0</v>
      </c>
      <c r="AA132" s="205">
        <f t="shared" si="70"/>
        <v>0</v>
      </c>
      <c r="AB132" s="102"/>
    </row>
    <row r="133" spans="1:28" x14ac:dyDescent="0.25">
      <c r="A133" s="256"/>
      <c r="B133" s="256"/>
      <c r="C133" s="257"/>
      <c r="D133" s="257"/>
      <c r="E133" s="257"/>
      <c r="F133" s="257"/>
      <c r="G133" s="102"/>
      <c r="H133" s="256"/>
      <c r="I133" s="256"/>
      <c r="J133" s="257"/>
      <c r="K133" s="257"/>
      <c r="L133" s="257"/>
      <c r="M133" s="257"/>
      <c r="N133" s="102"/>
      <c r="O133" s="256"/>
      <c r="P133" s="256"/>
      <c r="Q133" s="257"/>
      <c r="R133" s="257"/>
      <c r="S133" s="257"/>
      <c r="T133" s="257"/>
      <c r="U133" s="102"/>
      <c r="AB133" s="102"/>
    </row>
    <row r="134" spans="1:28" s="102" customFormat="1" x14ac:dyDescent="0.25">
      <c r="A134" s="258"/>
      <c r="B134" s="258"/>
      <c r="C134" s="259"/>
      <c r="D134" s="259"/>
      <c r="E134" s="259"/>
      <c r="F134" s="259"/>
      <c r="H134" s="258"/>
      <c r="I134" s="258"/>
      <c r="J134" s="259"/>
      <c r="K134" s="259"/>
      <c r="L134" s="259"/>
      <c r="M134" s="259"/>
      <c r="O134" s="258"/>
      <c r="P134" s="258"/>
      <c r="Q134" s="259"/>
      <c r="R134" s="259"/>
      <c r="S134" s="259"/>
      <c r="T134" s="259"/>
    </row>
    <row r="135" spans="1:28" ht="13.8" thickBot="1" x14ac:dyDescent="0.3">
      <c r="A135" s="256"/>
      <c r="B135" s="256"/>
      <c r="C135" s="257"/>
      <c r="D135" s="257"/>
      <c r="E135" s="257"/>
      <c r="F135" s="257"/>
      <c r="G135" s="102"/>
      <c r="H135" s="256"/>
      <c r="I135" s="256"/>
      <c r="J135" s="257"/>
      <c r="K135" s="257"/>
      <c r="L135" s="257"/>
      <c r="M135" s="257"/>
      <c r="N135" s="102"/>
      <c r="O135" s="256"/>
      <c r="P135" s="256"/>
      <c r="Q135" s="257"/>
      <c r="R135" s="257"/>
      <c r="S135" s="257"/>
      <c r="T135" s="257"/>
      <c r="U135" s="102"/>
      <c r="AB135" s="102"/>
    </row>
    <row r="136" spans="1:28" ht="12.75" customHeight="1" x14ac:dyDescent="0.25">
      <c r="A136" s="952" t="s">
        <v>281</v>
      </c>
      <c r="B136" s="953"/>
      <c r="C136" s="953"/>
      <c r="D136" s="953"/>
      <c r="E136" s="953"/>
      <c r="F136" s="954"/>
      <c r="G136" s="102"/>
      <c r="H136" s="952" t="s">
        <v>282</v>
      </c>
      <c r="I136" s="953"/>
      <c r="J136" s="953"/>
      <c r="K136" s="953"/>
      <c r="L136" s="953"/>
      <c r="M136" s="954"/>
      <c r="N136" s="102"/>
      <c r="O136" s="952" t="s">
        <v>283</v>
      </c>
      <c r="P136" s="953"/>
      <c r="Q136" s="953"/>
      <c r="R136" s="953"/>
      <c r="S136" s="953"/>
      <c r="T136" s="954"/>
      <c r="U136" s="102"/>
      <c r="V136" s="952" t="s">
        <v>284</v>
      </c>
      <c r="W136" s="953"/>
      <c r="X136" s="953"/>
      <c r="Y136" s="953"/>
      <c r="Z136" s="953"/>
      <c r="AA136" s="954"/>
      <c r="AB136" s="102"/>
    </row>
    <row r="137" spans="1:28" ht="13.8" thickBot="1" x14ac:dyDescent="0.3">
      <c r="A137" s="955"/>
      <c r="B137" s="956"/>
      <c r="C137" s="956"/>
      <c r="D137" s="956"/>
      <c r="E137" s="956"/>
      <c r="F137" s="957"/>
      <c r="G137" s="102"/>
      <c r="H137" s="955"/>
      <c r="I137" s="956"/>
      <c r="J137" s="956"/>
      <c r="K137" s="956"/>
      <c r="L137" s="956"/>
      <c r="M137" s="957"/>
      <c r="N137" s="102"/>
      <c r="O137" s="955"/>
      <c r="P137" s="956"/>
      <c r="Q137" s="956"/>
      <c r="R137" s="956"/>
      <c r="S137" s="956"/>
      <c r="T137" s="957"/>
      <c r="U137" s="102"/>
      <c r="V137" s="955"/>
      <c r="W137" s="956"/>
      <c r="X137" s="956"/>
      <c r="Y137" s="956"/>
      <c r="Z137" s="956"/>
      <c r="AA137" s="957"/>
      <c r="AB137" s="102"/>
    </row>
    <row r="138" spans="1:28" ht="13.8" thickBot="1" x14ac:dyDescent="0.3">
      <c r="A138" s="188" t="s">
        <v>226</v>
      </c>
      <c r="B138" s="189"/>
      <c r="C138" s="190"/>
      <c r="D138" s="191" t="s">
        <v>227</v>
      </c>
      <c r="E138" s="192">
        <f>C306</f>
        <v>0</v>
      </c>
      <c r="F138" s="193" t="s">
        <v>228</v>
      </c>
      <c r="G138" s="102"/>
      <c r="H138" s="188" t="s">
        <v>226</v>
      </c>
      <c r="I138" s="189"/>
      <c r="J138" s="190"/>
      <c r="K138" s="191" t="s">
        <v>227</v>
      </c>
      <c r="L138" s="192">
        <f>C322</f>
        <v>0</v>
      </c>
      <c r="M138" s="193" t="s">
        <v>228</v>
      </c>
      <c r="N138" s="102"/>
      <c r="O138" s="188" t="s">
        <v>226</v>
      </c>
      <c r="P138" s="189"/>
      <c r="Q138" s="190"/>
      <c r="R138" s="191" t="s">
        <v>227</v>
      </c>
      <c r="S138" s="192">
        <f>C339</f>
        <v>0</v>
      </c>
      <c r="T138" s="193" t="s">
        <v>228</v>
      </c>
      <c r="U138" s="102"/>
      <c r="V138" s="188" t="s">
        <v>226</v>
      </c>
      <c r="W138" s="189"/>
      <c r="X138" s="190"/>
      <c r="Y138" s="191" t="s">
        <v>227</v>
      </c>
      <c r="Z138" s="192">
        <f>C355</f>
        <v>0</v>
      </c>
      <c r="AA138" s="193" t="s">
        <v>228</v>
      </c>
      <c r="AB138" s="102"/>
    </row>
    <row r="139" spans="1:28" ht="13.8" thickBot="1" x14ac:dyDescent="0.3">
      <c r="A139" s="194" t="str">
        <f t="shared" ref="A139:B150" si="71">A107</f>
        <v>Froude No</v>
      </c>
      <c r="B139" s="195" t="str">
        <f t="shared" si="71"/>
        <v>Boat Speed</v>
      </c>
      <c r="C139" s="196" t="s">
        <v>229</v>
      </c>
      <c r="D139" s="107" t="s">
        <v>230</v>
      </c>
      <c r="E139" s="107" t="s">
        <v>231</v>
      </c>
      <c r="F139" s="197" t="s">
        <v>232</v>
      </c>
      <c r="G139" s="102"/>
      <c r="H139" s="194" t="str">
        <f t="shared" ref="H139:H150" si="72">A139</f>
        <v>Froude No</v>
      </c>
      <c r="I139" s="195" t="str">
        <f t="shared" ref="I139:I150" si="73">B139</f>
        <v>Boat Speed</v>
      </c>
      <c r="J139" s="196" t="s">
        <v>229</v>
      </c>
      <c r="K139" s="107" t="s">
        <v>230</v>
      </c>
      <c r="L139" s="107" t="s">
        <v>231</v>
      </c>
      <c r="M139" s="197" t="s">
        <v>232</v>
      </c>
      <c r="N139" s="102"/>
      <c r="O139" s="194" t="str">
        <f t="shared" ref="O139:O150" si="74">H139</f>
        <v>Froude No</v>
      </c>
      <c r="P139" s="195" t="str">
        <f t="shared" ref="P139:P150" si="75">I139</f>
        <v>Boat Speed</v>
      </c>
      <c r="Q139" s="196" t="s">
        <v>229</v>
      </c>
      <c r="R139" s="107" t="s">
        <v>230</v>
      </c>
      <c r="S139" s="107" t="s">
        <v>231</v>
      </c>
      <c r="T139" s="197" t="s">
        <v>232</v>
      </c>
      <c r="U139" s="102"/>
      <c r="V139" s="194" t="str">
        <f t="shared" ref="V139:V150" si="76">O139</f>
        <v>Froude No</v>
      </c>
      <c r="W139" s="195" t="str">
        <f t="shared" ref="W139:W150" si="77">P139</f>
        <v>Boat Speed</v>
      </c>
      <c r="X139" s="196" t="s">
        <v>229</v>
      </c>
      <c r="Y139" s="107" t="s">
        <v>230</v>
      </c>
      <c r="Z139" s="107" t="s">
        <v>231</v>
      </c>
      <c r="AA139" s="197" t="s">
        <v>232</v>
      </c>
      <c r="AB139" s="102"/>
    </row>
    <row r="140" spans="1:28" x14ac:dyDescent="0.25">
      <c r="A140" s="198">
        <f t="shared" si="71"/>
        <v>0.1</v>
      </c>
      <c r="B140" s="199">
        <f t="shared" si="71"/>
        <v>1.2029027392104485</v>
      </c>
      <c r="C140" s="200">
        <f t="shared" ref="C140:C150" si="78">0.5*$G$4*B140^2*$B$12*($E$138*0.01745)*$B$102</f>
        <v>0</v>
      </c>
      <c r="D140" s="200">
        <f t="shared" ref="D140:D150" si="79">1.015*0.5*$G$4*B140^2*$B$12*($E$138*0.01745)*$C$102</f>
        <v>0</v>
      </c>
      <c r="E140" s="200">
        <f t="shared" ref="E140:E150" si="80">1.064*0.5*$G$4*B140^2*$B$12*($E$138*0.01745)*$D$102</f>
        <v>0</v>
      </c>
      <c r="F140" s="201">
        <f t="shared" ref="F140:F150" si="81">1.154*0.5*$G$4*B140^2*$B$12*($E$138*0.01745)*$E$102</f>
        <v>0</v>
      </c>
      <c r="G140" s="102"/>
      <c r="H140" s="198">
        <f t="shared" si="72"/>
        <v>0.1</v>
      </c>
      <c r="I140" s="199">
        <f t="shared" si="73"/>
        <v>1.2029027392104485</v>
      </c>
      <c r="J140" s="200">
        <f t="shared" ref="J140:J150" si="82">0.5*$G$4*I140^2*$B$12*($L$138*0.01745)*$B$102</f>
        <v>0</v>
      </c>
      <c r="K140" s="200">
        <f t="shared" ref="K140:K150" si="83">1.015*0.5*$G$4*I140^2*$B$12*($L$138*0.01745)*$C$102</f>
        <v>0</v>
      </c>
      <c r="L140" s="200">
        <f t="shared" ref="L140:L150" si="84">1.064*0.5*$G$4*I140^2*$B$12*($L$138*0.01745)*$D$102</f>
        <v>0</v>
      </c>
      <c r="M140" s="201">
        <f t="shared" ref="M140:M150" si="85">1.154*0.5*$G$4*I140^2*$B$12*($L$138*0.01745)*$E$102</f>
        <v>0</v>
      </c>
      <c r="N140" s="102"/>
      <c r="O140" s="273">
        <f t="shared" si="74"/>
        <v>0.1</v>
      </c>
      <c r="P140" s="274">
        <f t="shared" si="75"/>
        <v>1.2029027392104485</v>
      </c>
      <c r="Q140" s="275">
        <f t="shared" ref="Q140:Q150" si="86">0.5*$G$4*P140^2*$B$12*($S$138*0.01745)*$B$102</f>
        <v>0</v>
      </c>
      <c r="R140" s="275">
        <f t="shared" ref="R140:R150" si="87">1.015*0.5*$G$4*P140^2*$B$12*($S$138*0.01745)*$C$102</f>
        <v>0</v>
      </c>
      <c r="S140" s="275">
        <f t="shared" ref="S140:S150" si="88">1.064*0.5*$G$4*P140^2*$B$12*($S$138*0.01745)*$D$102</f>
        <v>0</v>
      </c>
      <c r="T140" s="276">
        <f t="shared" ref="T140:T150" si="89">1.154*0.5*$G$4*P140^2*$B$12*($S$138*0.01745)*$E$102</f>
        <v>0</v>
      </c>
      <c r="U140" s="102"/>
      <c r="V140" s="273">
        <f t="shared" si="76"/>
        <v>0.1</v>
      </c>
      <c r="W140" s="274">
        <f t="shared" si="77"/>
        <v>1.2029027392104485</v>
      </c>
      <c r="X140" s="275">
        <f t="shared" ref="X140:X150" si="90">0.5*$G$4*W140^2*$B$12*($Z$138*0.01745)*$B$102</f>
        <v>0</v>
      </c>
      <c r="Y140" s="275">
        <f t="shared" ref="Y140:Y150" si="91">1.015*0.5*$G$4*W140^2*$B$12*($Z$138*0.01745)*$C$102</f>
        <v>0</v>
      </c>
      <c r="Z140" s="275">
        <f t="shared" ref="Z140:Z150" si="92">1.064*0.5*$G$4*W140^2*$B$12*($Z$138*0.01745)*$D$102</f>
        <v>0</v>
      </c>
      <c r="AA140" s="276">
        <f t="shared" ref="AA140:AA150" si="93">1.154*0.5*$G$4*W140^2*$B$12*($Z$138*0.01745)*$E$102</f>
        <v>0</v>
      </c>
      <c r="AB140" s="102"/>
    </row>
    <row r="141" spans="1:28" x14ac:dyDescent="0.25">
      <c r="A141" s="198">
        <f t="shared" si="71"/>
        <v>0.15</v>
      </c>
      <c r="B141" s="199">
        <f t="shared" si="71"/>
        <v>1.8043541088156727</v>
      </c>
      <c r="C141" s="200">
        <f t="shared" si="78"/>
        <v>0</v>
      </c>
      <c r="D141" s="200">
        <f t="shared" si="79"/>
        <v>0</v>
      </c>
      <c r="E141" s="200">
        <f t="shared" si="80"/>
        <v>0</v>
      </c>
      <c r="F141" s="201">
        <f t="shared" si="81"/>
        <v>0</v>
      </c>
      <c r="G141" s="102"/>
      <c r="H141" s="198">
        <f t="shared" si="72"/>
        <v>0.15</v>
      </c>
      <c r="I141" s="199">
        <f t="shared" si="73"/>
        <v>1.8043541088156727</v>
      </c>
      <c r="J141" s="200">
        <f t="shared" si="82"/>
        <v>0</v>
      </c>
      <c r="K141" s="200">
        <f t="shared" si="83"/>
        <v>0</v>
      </c>
      <c r="L141" s="200">
        <f t="shared" si="84"/>
        <v>0</v>
      </c>
      <c r="M141" s="201">
        <f t="shared" si="85"/>
        <v>0</v>
      </c>
      <c r="N141" s="102"/>
      <c r="O141" s="198">
        <f t="shared" si="74"/>
        <v>0.15</v>
      </c>
      <c r="P141" s="199">
        <f t="shared" si="75"/>
        <v>1.8043541088156727</v>
      </c>
      <c r="Q141" s="200">
        <f t="shared" si="86"/>
        <v>0</v>
      </c>
      <c r="R141" s="200">
        <f t="shared" si="87"/>
        <v>0</v>
      </c>
      <c r="S141" s="200">
        <f t="shared" si="88"/>
        <v>0</v>
      </c>
      <c r="T141" s="201">
        <f t="shared" si="89"/>
        <v>0</v>
      </c>
      <c r="U141" s="102"/>
      <c r="V141" s="198">
        <f t="shared" si="76"/>
        <v>0.15</v>
      </c>
      <c r="W141" s="199">
        <f t="shared" si="77"/>
        <v>1.8043541088156727</v>
      </c>
      <c r="X141" s="200">
        <f t="shared" si="90"/>
        <v>0</v>
      </c>
      <c r="Y141" s="200">
        <f t="shared" si="91"/>
        <v>0</v>
      </c>
      <c r="Z141" s="200">
        <f t="shared" si="92"/>
        <v>0</v>
      </c>
      <c r="AA141" s="201">
        <f t="shared" si="93"/>
        <v>0</v>
      </c>
      <c r="AB141" s="102"/>
    </row>
    <row r="142" spans="1:28" x14ac:dyDescent="0.25">
      <c r="A142" s="198">
        <f t="shared" si="71"/>
        <v>0.2</v>
      </c>
      <c r="B142" s="199">
        <f t="shared" si="71"/>
        <v>2.4058054784208971</v>
      </c>
      <c r="C142" s="200">
        <f t="shared" si="78"/>
        <v>0</v>
      </c>
      <c r="D142" s="200">
        <f t="shared" si="79"/>
        <v>0</v>
      </c>
      <c r="E142" s="200">
        <f t="shared" si="80"/>
        <v>0</v>
      </c>
      <c r="F142" s="201">
        <f t="shared" si="81"/>
        <v>0</v>
      </c>
      <c r="G142" s="102"/>
      <c r="H142" s="198">
        <f t="shared" si="72"/>
        <v>0.2</v>
      </c>
      <c r="I142" s="199">
        <f t="shared" si="73"/>
        <v>2.4058054784208971</v>
      </c>
      <c r="J142" s="200">
        <f t="shared" si="82"/>
        <v>0</v>
      </c>
      <c r="K142" s="200">
        <f t="shared" si="83"/>
        <v>0</v>
      </c>
      <c r="L142" s="200">
        <f t="shared" si="84"/>
        <v>0</v>
      </c>
      <c r="M142" s="201">
        <f t="shared" si="85"/>
        <v>0</v>
      </c>
      <c r="N142" s="102"/>
      <c r="O142" s="198">
        <f t="shared" si="74"/>
        <v>0.2</v>
      </c>
      <c r="P142" s="199">
        <f t="shared" si="75"/>
        <v>2.4058054784208971</v>
      </c>
      <c r="Q142" s="200">
        <f t="shared" si="86"/>
        <v>0</v>
      </c>
      <c r="R142" s="200">
        <f t="shared" si="87"/>
        <v>0</v>
      </c>
      <c r="S142" s="200">
        <f t="shared" si="88"/>
        <v>0</v>
      </c>
      <c r="T142" s="201">
        <f t="shared" si="89"/>
        <v>0</v>
      </c>
      <c r="U142" s="102"/>
      <c r="V142" s="198">
        <f t="shared" si="76"/>
        <v>0.2</v>
      </c>
      <c r="W142" s="199">
        <f t="shared" si="77"/>
        <v>2.4058054784208971</v>
      </c>
      <c r="X142" s="200">
        <f t="shared" si="90"/>
        <v>0</v>
      </c>
      <c r="Y142" s="200">
        <f t="shared" si="91"/>
        <v>0</v>
      </c>
      <c r="Z142" s="200">
        <f t="shared" si="92"/>
        <v>0</v>
      </c>
      <c r="AA142" s="201">
        <f t="shared" si="93"/>
        <v>0</v>
      </c>
      <c r="AB142" s="102"/>
    </row>
    <row r="143" spans="1:28" x14ac:dyDescent="0.25">
      <c r="A143" s="198">
        <f t="shared" si="71"/>
        <v>0.25</v>
      </c>
      <c r="B143" s="199">
        <f t="shared" si="71"/>
        <v>3.0072568480261213</v>
      </c>
      <c r="C143" s="200">
        <f t="shared" si="78"/>
        <v>0</v>
      </c>
      <c r="D143" s="200">
        <f t="shared" si="79"/>
        <v>0</v>
      </c>
      <c r="E143" s="200">
        <f t="shared" si="80"/>
        <v>0</v>
      </c>
      <c r="F143" s="201">
        <f t="shared" si="81"/>
        <v>0</v>
      </c>
      <c r="G143" s="102"/>
      <c r="H143" s="198">
        <f t="shared" si="72"/>
        <v>0.25</v>
      </c>
      <c r="I143" s="199">
        <f t="shared" si="73"/>
        <v>3.0072568480261213</v>
      </c>
      <c r="J143" s="200">
        <f t="shared" si="82"/>
        <v>0</v>
      </c>
      <c r="K143" s="200">
        <f t="shared" si="83"/>
        <v>0</v>
      </c>
      <c r="L143" s="200">
        <f t="shared" si="84"/>
        <v>0</v>
      </c>
      <c r="M143" s="201">
        <f t="shared" si="85"/>
        <v>0</v>
      </c>
      <c r="N143" s="102"/>
      <c r="O143" s="198">
        <f t="shared" si="74"/>
        <v>0.25</v>
      </c>
      <c r="P143" s="199">
        <f t="shared" si="75"/>
        <v>3.0072568480261213</v>
      </c>
      <c r="Q143" s="200">
        <f t="shared" si="86"/>
        <v>0</v>
      </c>
      <c r="R143" s="200">
        <f t="shared" si="87"/>
        <v>0</v>
      </c>
      <c r="S143" s="200">
        <f t="shared" si="88"/>
        <v>0</v>
      </c>
      <c r="T143" s="201">
        <f t="shared" si="89"/>
        <v>0</v>
      </c>
      <c r="U143" s="102"/>
      <c r="V143" s="198">
        <f t="shared" si="76"/>
        <v>0.25</v>
      </c>
      <c r="W143" s="199">
        <f t="shared" si="77"/>
        <v>3.0072568480261213</v>
      </c>
      <c r="X143" s="200">
        <f t="shared" si="90"/>
        <v>0</v>
      </c>
      <c r="Y143" s="200">
        <f t="shared" si="91"/>
        <v>0</v>
      </c>
      <c r="Z143" s="200">
        <f t="shared" si="92"/>
        <v>0</v>
      </c>
      <c r="AA143" s="201">
        <f t="shared" si="93"/>
        <v>0</v>
      </c>
      <c r="AB143" s="102"/>
    </row>
    <row r="144" spans="1:28" x14ac:dyDescent="0.25">
      <c r="A144" s="198">
        <f t="shared" si="71"/>
        <v>0.3</v>
      </c>
      <c r="B144" s="199">
        <f t="shared" si="71"/>
        <v>3.6087082176313454</v>
      </c>
      <c r="C144" s="200">
        <f t="shared" si="78"/>
        <v>0</v>
      </c>
      <c r="D144" s="200">
        <f t="shared" si="79"/>
        <v>0</v>
      </c>
      <c r="E144" s="200">
        <f t="shared" si="80"/>
        <v>0</v>
      </c>
      <c r="F144" s="201">
        <f t="shared" si="81"/>
        <v>0</v>
      </c>
      <c r="G144" s="102"/>
      <c r="H144" s="198">
        <f t="shared" si="72"/>
        <v>0.3</v>
      </c>
      <c r="I144" s="199">
        <f t="shared" si="73"/>
        <v>3.6087082176313454</v>
      </c>
      <c r="J144" s="200">
        <f t="shared" si="82"/>
        <v>0</v>
      </c>
      <c r="K144" s="200">
        <f t="shared" si="83"/>
        <v>0</v>
      </c>
      <c r="L144" s="200">
        <f t="shared" si="84"/>
        <v>0</v>
      </c>
      <c r="M144" s="201">
        <f t="shared" si="85"/>
        <v>0</v>
      </c>
      <c r="N144" s="102"/>
      <c r="O144" s="198">
        <f t="shared" si="74"/>
        <v>0.3</v>
      </c>
      <c r="P144" s="199">
        <f t="shared" si="75"/>
        <v>3.6087082176313454</v>
      </c>
      <c r="Q144" s="200">
        <f t="shared" si="86"/>
        <v>0</v>
      </c>
      <c r="R144" s="200">
        <f t="shared" si="87"/>
        <v>0</v>
      </c>
      <c r="S144" s="200">
        <f t="shared" si="88"/>
        <v>0</v>
      </c>
      <c r="T144" s="201">
        <f t="shared" si="89"/>
        <v>0</v>
      </c>
      <c r="U144" s="102"/>
      <c r="V144" s="198">
        <f t="shared" si="76"/>
        <v>0.3</v>
      </c>
      <c r="W144" s="199">
        <f t="shared" si="77"/>
        <v>3.6087082176313454</v>
      </c>
      <c r="X144" s="200">
        <f t="shared" si="90"/>
        <v>0</v>
      </c>
      <c r="Y144" s="200">
        <f t="shared" si="91"/>
        <v>0</v>
      </c>
      <c r="Z144" s="200">
        <f t="shared" si="92"/>
        <v>0</v>
      </c>
      <c r="AA144" s="201">
        <f t="shared" si="93"/>
        <v>0</v>
      </c>
      <c r="AB144" s="102"/>
    </row>
    <row r="145" spans="1:28" x14ac:dyDescent="0.25">
      <c r="A145" s="198">
        <f t="shared" si="71"/>
        <v>0.35</v>
      </c>
      <c r="B145" s="199">
        <f t="shared" si="71"/>
        <v>4.2101595872365696</v>
      </c>
      <c r="C145" s="200">
        <f t="shared" si="78"/>
        <v>0</v>
      </c>
      <c r="D145" s="200">
        <f t="shared" si="79"/>
        <v>0</v>
      </c>
      <c r="E145" s="200">
        <f t="shared" si="80"/>
        <v>0</v>
      </c>
      <c r="F145" s="201">
        <f t="shared" si="81"/>
        <v>0</v>
      </c>
      <c r="G145" s="139"/>
      <c r="H145" s="198">
        <f t="shared" si="72"/>
        <v>0.35</v>
      </c>
      <c r="I145" s="199">
        <f t="shared" si="73"/>
        <v>4.2101595872365696</v>
      </c>
      <c r="J145" s="200">
        <f t="shared" si="82"/>
        <v>0</v>
      </c>
      <c r="K145" s="200">
        <f t="shared" si="83"/>
        <v>0</v>
      </c>
      <c r="L145" s="200">
        <f t="shared" si="84"/>
        <v>0</v>
      </c>
      <c r="M145" s="201">
        <f t="shared" si="85"/>
        <v>0</v>
      </c>
      <c r="N145" s="102"/>
      <c r="O145" s="198">
        <f t="shared" si="74"/>
        <v>0.35</v>
      </c>
      <c r="P145" s="199">
        <f t="shared" si="75"/>
        <v>4.2101595872365696</v>
      </c>
      <c r="Q145" s="200">
        <f t="shared" si="86"/>
        <v>0</v>
      </c>
      <c r="R145" s="200">
        <f t="shared" si="87"/>
        <v>0</v>
      </c>
      <c r="S145" s="200">
        <f t="shared" si="88"/>
        <v>0</v>
      </c>
      <c r="T145" s="201">
        <f t="shared" si="89"/>
        <v>0</v>
      </c>
      <c r="U145" s="102"/>
      <c r="V145" s="198">
        <f t="shared" si="76"/>
        <v>0.35</v>
      </c>
      <c r="W145" s="199">
        <f t="shared" si="77"/>
        <v>4.2101595872365696</v>
      </c>
      <c r="X145" s="200">
        <f t="shared" si="90"/>
        <v>0</v>
      </c>
      <c r="Y145" s="200">
        <f t="shared" si="91"/>
        <v>0</v>
      </c>
      <c r="Z145" s="200">
        <f t="shared" si="92"/>
        <v>0</v>
      </c>
      <c r="AA145" s="201">
        <f t="shared" si="93"/>
        <v>0</v>
      </c>
      <c r="AB145" s="102"/>
    </row>
    <row r="146" spans="1:28" x14ac:dyDescent="0.25">
      <c r="A146" s="198">
        <f t="shared" si="71"/>
        <v>0.4</v>
      </c>
      <c r="B146" s="199">
        <f t="shared" si="71"/>
        <v>4.8116109568417942</v>
      </c>
      <c r="C146" s="200">
        <f t="shared" si="78"/>
        <v>0</v>
      </c>
      <c r="D146" s="200">
        <f t="shared" si="79"/>
        <v>0</v>
      </c>
      <c r="E146" s="200">
        <f t="shared" si="80"/>
        <v>0</v>
      </c>
      <c r="F146" s="201">
        <f t="shared" si="81"/>
        <v>0</v>
      </c>
      <c r="G146" s="102"/>
      <c r="H146" s="198">
        <f t="shared" si="72"/>
        <v>0.4</v>
      </c>
      <c r="I146" s="199">
        <f t="shared" si="73"/>
        <v>4.8116109568417942</v>
      </c>
      <c r="J146" s="200">
        <f t="shared" si="82"/>
        <v>0</v>
      </c>
      <c r="K146" s="200">
        <f t="shared" si="83"/>
        <v>0</v>
      </c>
      <c r="L146" s="200">
        <f t="shared" si="84"/>
        <v>0</v>
      </c>
      <c r="M146" s="201">
        <f t="shared" si="85"/>
        <v>0</v>
      </c>
      <c r="N146" s="102"/>
      <c r="O146" s="198">
        <f t="shared" si="74"/>
        <v>0.4</v>
      </c>
      <c r="P146" s="199">
        <f t="shared" si="75"/>
        <v>4.8116109568417942</v>
      </c>
      <c r="Q146" s="200">
        <f t="shared" si="86"/>
        <v>0</v>
      </c>
      <c r="R146" s="200">
        <f t="shared" si="87"/>
        <v>0</v>
      </c>
      <c r="S146" s="200">
        <f t="shared" si="88"/>
        <v>0</v>
      </c>
      <c r="T146" s="201">
        <f t="shared" si="89"/>
        <v>0</v>
      </c>
      <c r="U146" s="102"/>
      <c r="V146" s="198">
        <f t="shared" si="76"/>
        <v>0.4</v>
      </c>
      <c r="W146" s="199">
        <f t="shared" si="77"/>
        <v>4.8116109568417942</v>
      </c>
      <c r="X146" s="200">
        <f t="shared" si="90"/>
        <v>0</v>
      </c>
      <c r="Y146" s="200">
        <f t="shared" si="91"/>
        <v>0</v>
      </c>
      <c r="Z146" s="200">
        <f t="shared" si="92"/>
        <v>0</v>
      </c>
      <c r="AA146" s="201">
        <f t="shared" si="93"/>
        <v>0</v>
      </c>
      <c r="AB146" s="102"/>
    </row>
    <row r="147" spans="1:28" x14ac:dyDescent="0.25">
      <c r="A147" s="198">
        <f t="shared" si="71"/>
        <v>0.45</v>
      </c>
      <c r="B147" s="199">
        <f t="shared" si="71"/>
        <v>5.4130623264470188</v>
      </c>
      <c r="C147" s="200">
        <f t="shared" si="78"/>
        <v>0</v>
      </c>
      <c r="D147" s="200">
        <f t="shared" si="79"/>
        <v>0</v>
      </c>
      <c r="E147" s="200">
        <f t="shared" si="80"/>
        <v>0</v>
      </c>
      <c r="F147" s="201">
        <f t="shared" si="81"/>
        <v>0</v>
      </c>
      <c r="G147" s="102"/>
      <c r="H147" s="198">
        <f t="shared" si="72"/>
        <v>0.45</v>
      </c>
      <c r="I147" s="199">
        <f t="shared" si="73"/>
        <v>5.4130623264470188</v>
      </c>
      <c r="J147" s="200">
        <f t="shared" si="82"/>
        <v>0</v>
      </c>
      <c r="K147" s="200">
        <f t="shared" si="83"/>
        <v>0</v>
      </c>
      <c r="L147" s="200">
        <f t="shared" si="84"/>
        <v>0</v>
      </c>
      <c r="M147" s="201">
        <f t="shared" si="85"/>
        <v>0</v>
      </c>
      <c r="N147" s="102"/>
      <c r="O147" s="198">
        <f t="shared" si="74"/>
        <v>0.45</v>
      </c>
      <c r="P147" s="199">
        <f t="shared" si="75"/>
        <v>5.4130623264470188</v>
      </c>
      <c r="Q147" s="200">
        <f t="shared" si="86"/>
        <v>0</v>
      </c>
      <c r="R147" s="200">
        <f t="shared" si="87"/>
        <v>0</v>
      </c>
      <c r="S147" s="200">
        <f t="shared" si="88"/>
        <v>0</v>
      </c>
      <c r="T147" s="201">
        <f t="shared" si="89"/>
        <v>0</v>
      </c>
      <c r="U147" s="102"/>
      <c r="V147" s="198">
        <f t="shared" si="76"/>
        <v>0.45</v>
      </c>
      <c r="W147" s="199">
        <f t="shared" si="77"/>
        <v>5.4130623264470188</v>
      </c>
      <c r="X147" s="200">
        <f t="shared" si="90"/>
        <v>0</v>
      </c>
      <c r="Y147" s="200">
        <f t="shared" si="91"/>
        <v>0</v>
      </c>
      <c r="Z147" s="200">
        <f t="shared" si="92"/>
        <v>0</v>
      </c>
      <c r="AA147" s="201">
        <f t="shared" si="93"/>
        <v>0</v>
      </c>
      <c r="AB147" s="102"/>
    </row>
    <row r="148" spans="1:28" x14ac:dyDescent="0.25">
      <c r="A148" s="198">
        <f t="shared" si="71"/>
        <v>0.5</v>
      </c>
      <c r="B148" s="199">
        <f t="shared" si="71"/>
        <v>6.0145136960522425</v>
      </c>
      <c r="C148" s="200">
        <f t="shared" si="78"/>
        <v>0</v>
      </c>
      <c r="D148" s="200">
        <f t="shared" si="79"/>
        <v>0</v>
      </c>
      <c r="E148" s="200">
        <f t="shared" si="80"/>
        <v>0</v>
      </c>
      <c r="F148" s="201">
        <f t="shared" si="81"/>
        <v>0</v>
      </c>
      <c r="G148" s="102"/>
      <c r="H148" s="198">
        <f t="shared" si="72"/>
        <v>0.5</v>
      </c>
      <c r="I148" s="199">
        <f t="shared" si="73"/>
        <v>6.0145136960522425</v>
      </c>
      <c r="J148" s="200">
        <f t="shared" si="82"/>
        <v>0</v>
      </c>
      <c r="K148" s="200">
        <f t="shared" si="83"/>
        <v>0</v>
      </c>
      <c r="L148" s="200">
        <f t="shared" si="84"/>
        <v>0</v>
      </c>
      <c r="M148" s="201">
        <f t="shared" si="85"/>
        <v>0</v>
      </c>
      <c r="N148" s="102"/>
      <c r="O148" s="198">
        <f t="shared" si="74"/>
        <v>0.5</v>
      </c>
      <c r="P148" s="199">
        <f t="shared" si="75"/>
        <v>6.0145136960522425</v>
      </c>
      <c r="Q148" s="200">
        <f t="shared" si="86"/>
        <v>0</v>
      </c>
      <c r="R148" s="200">
        <f t="shared" si="87"/>
        <v>0</v>
      </c>
      <c r="S148" s="200">
        <f t="shared" si="88"/>
        <v>0</v>
      </c>
      <c r="T148" s="201">
        <f t="shared" si="89"/>
        <v>0</v>
      </c>
      <c r="U148" s="102"/>
      <c r="V148" s="198">
        <f t="shared" si="76"/>
        <v>0.5</v>
      </c>
      <c r="W148" s="199">
        <f t="shared" si="77"/>
        <v>6.0145136960522425</v>
      </c>
      <c r="X148" s="200">
        <f t="shared" si="90"/>
        <v>0</v>
      </c>
      <c r="Y148" s="200">
        <f t="shared" si="91"/>
        <v>0</v>
      </c>
      <c r="Z148" s="200">
        <f t="shared" si="92"/>
        <v>0</v>
      </c>
      <c r="AA148" s="201">
        <f t="shared" si="93"/>
        <v>0</v>
      </c>
      <c r="AB148" s="102"/>
    </row>
    <row r="149" spans="1:28" x14ac:dyDescent="0.25">
      <c r="A149" s="198">
        <f t="shared" si="71"/>
        <v>0.55000000000000004</v>
      </c>
      <c r="B149" s="199">
        <f t="shared" si="71"/>
        <v>6.6159650656574671</v>
      </c>
      <c r="C149" s="200">
        <f t="shared" si="78"/>
        <v>0</v>
      </c>
      <c r="D149" s="200">
        <f t="shared" si="79"/>
        <v>0</v>
      </c>
      <c r="E149" s="200">
        <f t="shared" si="80"/>
        <v>0</v>
      </c>
      <c r="F149" s="201">
        <f t="shared" si="81"/>
        <v>0</v>
      </c>
      <c r="G149" s="102"/>
      <c r="H149" s="198">
        <f t="shared" si="72"/>
        <v>0.55000000000000004</v>
      </c>
      <c r="I149" s="199">
        <f t="shared" si="73"/>
        <v>6.6159650656574671</v>
      </c>
      <c r="J149" s="200">
        <f t="shared" si="82"/>
        <v>0</v>
      </c>
      <c r="K149" s="200">
        <f t="shared" si="83"/>
        <v>0</v>
      </c>
      <c r="L149" s="200">
        <f t="shared" si="84"/>
        <v>0</v>
      </c>
      <c r="M149" s="201">
        <f t="shared" si="85"/>
        <v>0</v>
      </c>
      <c r="N149" s="102"/>
      <c r="O149" s="198">
        <f t="shared" si="74"/>
        <v>0.55000000000000004</v>
      </c>
      <c r="P149" s="199">
        <f t="shared" si="75"/>
        <v>6.6159650656574671</v>
      </c>
      <c r="Q149" s="200">
        <f t="shared" si="86"/>
        <v>0</v>
      </c>
      <c r="R149" s="200">
        <f t="shared" si="87"/>
        <v>0</v>
      </c>
      <c r="S149" s="200">
        <f t="shared" si="88"/>
        <v>0</v>
      </c>
      <c r="T149" s="201">
        <f t="shared" si="89"/>
        <v>0</v>
      </c>
      <c r="U149" s="102"/>
      <c r="V149" s="198">
        <f t="shared" si="76"/>
        <v>0.55000000000000004</v>
      </c>
      <c r="W149" s="199">
        <f t="shared" si="77"/>
        <v>6.6159650656574671</v>
      </c>
      <c r="X149" s="200">
        <f t="shared" si="90"/>
        <v>0</v>
      </c>
      <c r="Y149" s="200">
        <f t="shared" si="91"/>
        <v>0</v>
      </c>
      <c r="Z149" s="200">
        <f t="shared" si="92"/>
        <v>0</v>
      </c>
      <c r="AA149" s="201">
        <f t="shared" si="93"/>
        <v>0</v>
      </c>
      <c r="AB149" s="102"/>
    </row>
    <row r="150" spans="1:28" ht="13.8" thickBot="1" x14ac:dyDescent="0.3">
      <c r="A150" s="202">
        <f t="shared" si="71"/>
        <v>0.6</v>
      </c>
      <c r="B150" s="203">
        <f t="shared" si="71"/>
        <v>7.2174164352626908</v>
      </c>
      <c r="C150" s="204">
        <f t="shared" si="78"/>
        <v>0</v>
      </c>
      <c r="D150" s="204">
        <f t="shared" si="79"/>
        <v>0</v>
      </c>
      <c r="E150" s="204">
        <f t="shared" si="80"/>
        <v>0</v>
      </c>
      <c r="F150" s="205">
        <f t="shared" si="81"/>
        <v>0</v>
      </c>
      <c r="G150" s="102"/>
      <c r="H150" s="202">
        <f t="shared" si="72"/>
        <v>0.6</v>
      </c>
      <c r="I150" s="203">
        <f t="shared" si="73"/>
        <v>7.2174164352626908</v>
      </c>
      <c r="J150" s="204">
        <f t="shared" si="82"/>
        <v>0</v>
      </c>
      <c r="K150" s="204">
        <f t="shared" si="83"/>
        <v>0</v>
      </c>
      <c r="L150" s="204">
        <f t="shared" si="84"/>
        <v>0</v>
      </c>
      <c r="M150" s="205">
        <f t="shared" si="85"/>
        <v>0</v>
      </c>
      <c r="N150" s="102"/>
      <c r="O150" s="202">
        <f t="shared" si="74"/>
        <v>0.6</v>
      </c>
      <c r="P150" s="203">
        <f t="shared" si="75"/>
        <v>7.2174164352626908</v>
      </c>
      <c r="Q150" s="204">
        <f t="shared" si="86"/>
        <v>0</v>
      </c>
      <c r="R150" s="204">
        <f t="shared" si="87"/>
        <v>0</v>
      </c>
      <c r="S150" s="204">
        <f t="shared" si="88"/>
        <v>0</v>
      </c>
      <c r="T150" s="205">
        <f t="shared" si="89"/>
        <v>0</v>
      </c>
      <c r="U150" s="102"/>
      <c r="V150" s="202">
        <f t="shared" si="76"/>
        <v>0.6</v>
      </c>
      <c r="W150" s="203">
        <f t="shared" si="77"/>
        <v>7.2174164352626908</v>
      </c>
      <c r="X150" s="204">
        <f t="shared" si="90"/>
        <v>0</v>
      </c>
      <c r="Y150" s="204">
        <f t="shared" si="91"/>
        <v>0</v>
      </c>
      <c r="Z150" s="204">
        <f t="shared" si="92"/>
        <v>0</v>
      </c>
      <c r="AA150" s="205">
        <f t="shared" si="93"/>
        <v>0</v>
      </c>
      <c r="AB150" s="102"/>
    </row>
    <row r="151" spans="1:28" ht="13.8" thickBot="1" x14ac:dyDescent="0.3">
      <c r="G151" s="102"/>
      <c r="N151" s="102"/>
      <c r="U151" s="102"/>
      <c r="AB151" s="102"/>
    </row>
    <row r="152" spans="1:28" ht="13.8" thickBot="1" x14ac:dyDescent="0.3">
      <c r="A152" s="206" t="s">
        <v>233</v>
      </c>
      <c r="B152" s="207"/>
      <c r="C152" s="207"/>
      <c r="D152" s="208" t="str">
        <f t="shared" ref="D152:F153" si="94">D138</f>
        <v>Yaw Angle X =</v>
      </c>
      <c r="E152" s="265">
        <f t="shared" si="94"/>
        <v>0</v>
      </c>
      <c r="F152" s="209" t="str">
        <f t="shared" si="94"/>
        <v>Degrees</v>
      </c>
      <c r="G152" s="102"/>
      <c r="H152" s="206" t="s">
        <v>233</v>
      </c>
      <c r="I152" s="207"/>
      <c r="J152" s="207"/>
      <c r="K152" s="208" t="str">
        <f t="shared" ref="K152:M153" si="95">K138</f>
        <v>Yaw Angle X =</v>
      </c>
      <c r="L152" s="265">
        <f t="shared" si="95"/>
        <v>0</v>
      </c>
      <c r="M152" s="209" t="str">
        <f t="shared" si="95"/>
        <v>Degrees</v>
      </c>
      <c r="N152" s="102"/>
      <c r="O152" s="206" t="s">
        <v>233</v>
      </c>
      <c r="P152" s="207"/>
      <c r="Q152" s="207"/>
      <c r="R152" s="208" t="str">
        <f t="shared" ref="R152:T153" si="96">R138</f>
        <v>Yaw Angle X =</v>
      </c>
      <c r="S152" s="265">
        <f t="shared" si="96"/>
        <v>0</v>
      </c>
      <c r="T152" s="209" t="str">
        <f t="shared" si="96"/>
        <v>Degrees</v>
      </c>
      <c r="U152" s="102"/>
      <c r="V152" s="206" t="s">
        <v>233</v>
      </c>
      <c r="W152" s="207"/>
      <c r="X152" s="207"/>
      <c r="Y152" s="208" t="str">
        <f t="shared" ref="Y152:AA153" si="97">Y138</f>
        <v>Yaw Angle X =</v>
      </c>
      <c r="Z152" s="265">
        <f t="shared" si="97"/>
        <v>0</v>
      </c>
      <c r="AA152" s="209" t="str">
        <f t="shared" si="97"/>
        <v>Degrees</v>
      </c>
      <c r="AB152" s="102"/>
    </row>
    <row r="153" spans="1:28" ht="13.8" thickBot="1" x14ac:dyDescent="0.3">
      <c r="A153" s="194" t="str">
        <f>A139</f>
        <v>Froude No</v>
      </c>
      <c r="B153" s="195" t="str">
        <f>B139</f>
        <v>Boat Speed</v>
      </c>
      <c r="C153" s="195" t="str">
        <f>C139</f>
        <v>0 Degs heel</v>
      </c>
      <c r="D153" s="195" t="str">
        <f t="shared" si="94"/>
        <v xml:space="preserve">10 Degs Heel </v>
      </c>
      <c r="E153" s="195" t="str">
        <f t="shared" si="94"/>
        <v>20 Degs Heel</v>
      </c>
      <c r="F153" s="210" t="str">
        <f t="shared" si="94"/>
        <v>30 Degs Heel</v>
      </c>
      <c r="G153" s="102"/>
      <c r="H153" s="194" t="str">
        <f>H139</f>
        <v>Froude No</v>
      </c>
      <c r="I153" s="195" t="str">
        <f>I139</f>
        <v>Boat Speed</v>
      </c>
      <c r="J153" s="195" t="str">
        <f>J139</f>
        <v>0 Degs heel</v>
      </c>
      <c r="K153" s="195" t="str">
        <f t="shared" si="95"/>
        <v xml:space="preserve">10 Degs Heel </v>
      </c>
      <c r="L153" s="195" t="str">
        <f t="shared" si="95"/>
        <v>20 Degs Heel</v>
      </c>
      <c r="M153" s="210" t="str">
        <f t="shared" si="95"/>
        <v>30 Degs Heel</v>
      </c>
      <c r="N153" s="102"/>
      <c r="O153" s="194" t="str">
        <f>O139</f>
        <v>Froude No</v>
      </c>
      <c r="P153" s="195" t="str">
        <f>P139</f>
        <v>Boat Speed</v>
      </c>
      <c r="Q153" s="195" t="str">
        <f>Q139</f>
        <v>0 Degs heel</v>
      </c>
      <c r="R153" s="195" t="str">
        <f t="shared" si="96"/>
        <v xml:space="preserve">10 Degs Heel </v>
      </c>
      <c r="S153" s="195" t="str">
        <f t="shared" si="96"/>
        <v>20 Degs Heel</v>
      </c>
      <c r="T153" s="210" t="str">
        <f t="shared" si="96"/>
        <v>30 Degs Heel</v>
      </c>
      <c r="U153" s="102"/>
      <c r="V153" s="194" t="str">
        <f>V139</f>
        <v>Froude No</v>
      </c>
      <c r="W153" s="195" t="str">
        <f>W139</f>
        <v>Boat Speed</v>
      </c>
      <c r="X153" s="195" t="str">
        <f>X139</f>
        <v>0 Degs heel</v>
      </c>
      <c r="Y153" s="195" t="str">
        <f t="shared" si="97"/>
        <v xml:space="preserve">10 Degs Heel </v>
      </c>
      <c r="Z153" s="195" t="str">
        <f t="shared" si="97"/>
        <v>20 Degs Heel</v>
      </c>
      <c r="AA153" s="210" t="str">
        <f t="shared" si="97"/>
        <v>30 Degs Heel</v>
      </c>
      <c r="AB153" s="102"/>
    </row>
    <row r="154" spans="1:28" x14ac:dyDescent="0.25">
      <c r="A154" s="198">
        <f t="shared" ref="A154:B164" si="98">A140</f>
        <v>0.1</v>
      </c>
      <c r="B154" s="199">
        <f t="shared" si="98"/>
        <v>1.2029027392104485</v>
      </c>
      <c r="C154" s="200">
        <f t="shared" ref="C154:C164" si="99">C140^2/(3.14159*($B$11+$G$10)^2*(0.5*$G$4*B154^2))</f>
        <v>0</v>
      </c>
      <c r="D154" s="200">
        <f t="shared" ref="D154:D164" si="100">D140^2/(3.14159*($B$91)^2*(0.5*$G$4*B154^2))</f>
        <v>0</v>
      </c>
      <c r="E154" s="200">
        <f t="shared" ref="E154:E164" si="101">E140^2/(3.14159*($C$91)^2*(0.5*$G$4*B154^2))</f>
        <v>0</v>
      </c>
      <c r="F154" s="201">
        <f t="shared" ref="F154:F164" si="102">F140^2/(3.14159*($D$91)^2*(0.5*$G$4*B154^2))</f>
        <v>0</v>
      </c>
      <c r="G154" s="102"/>
      <c r="H154" s="198">
        <f t="shared" ref="H154:I164" si="103">H140</f>
        <v>0.1</v>
      </c>
      <c r="I154" s="199">
        <f t="shared" si="103"/>
        <v>1.2029027392104485</v>
      </c>
      <c r="J154" s="200">
        <f t="shared" ref="J154:J164" si="104">J140^2/(3.14159*($B$11+$G$10)^2*(0.5*$G$4*I154^2))</f>
        <v>0</v>
      </c>
      <c r="K154" s="200">
        <f t="shared" ref="K154:K164" si="105">K140^2/(3.14159*($B$91)^2*(0.5*$G$4*I154^2))</f>
        <v>0</v>
      </c>
      <c r="L154" s="200">
        <f t="shared" ref="L154:L164" si="106">L140^2/(3.14159*($C$91)^2*(0.5*$G$4*I154^2))</f>
        <v>0</v>
      </c>
      <c r="M154" s="201">
        <f t="shared" ref="M154:M164" si="107">M140^2/(3.14159*($D$91)^2*(0.5*$G$4*I154^2))</f>
        <v>0</v>
      </c>
      <c r="N154" s="102"/>
      <c r="O154" s="198">
        <f t="shared" ref="O154:P164" si="108">O140</f>
        <v>0.1</v>
      </c>
      <c r="P154" s="199">
        <f t="shared" si="108"/>
        <v>1.2029027392104485</v>
      </c>
      <c r="Q154" s="200">
        <f t="shared" ref="Q154:Q164" si="109">Q140^2/(3.14159*($B$11+$G$10)^2*(0.5*$G$4*P154^2))</f>
        <v>0</v>
      </c>
      <c r="R154" s="200">
        <f t="shared" ref="R154:R164" si="110">R140^2/(3.14159*($B$91)^2*(0.5*$G$4*P154^2))</f>
        <v>0</v>
      </c>
      <c r="S154" s="200">
        <f t="shared" ref="S154:S164" si="111">S140^2/(3.14159*($C$91)^2*(0.5*$G$4*P154^2))</f>
        <v>0</v>
      </c>
      <c r="T154" s="201">
        <f t="shared" ref="T154:T164" si="112">T140^2/(3.14159*($D$91)^2*(0.5*$G$4*P154^2))</f>
        <v>0</v>
      </c>
      <c r="U154" s="102"/>
      <c r="V154" s="198">
        <f t="shared" ref="V154:W164" si="113">V140</f>
        <v>0.1</v>
      </c>
      <c r="W154" s="199">
        <f t="shared" si="113"/>
        <v>1.2029027392104485</v>
      </c>
      <c r="X154" s="200">
        <f t="shared" ref="X154:X164" si="114">X140^2/(3.14159*($B$11+$G$10)^2*(0.5*$G$4*W154^2))</f>
        <v>0</v>
      </c>
      <c r="Y154" s="200">
        <f t="shared" ref="Y154:Y164" si="115">Y140^2/(3.14159*($B$91)^2*(0.5*$G$4*W154^2))</f>
        <v>0</v>
      </c>
      <c r="Z154" s="200">
        <f t="shared" ref="Z154:Z164" si="116">Z140^2/(3.14159*($C$91)^2*(0.5*$G$4*W154^2))</f>
        <v>0</v>
      </c>
      <c r="AA154" s="201">
        <f t="shared" ref="AA154:AA164" si="117">AA140^2/(3.14159*($D$91)^2*(0.5*$G$4*W154^2))</f>
        <v>0</v>
      </c>
      <c r="AB154" s="102"/>
    </row>
    <row r="155" spans="1:28" x14ac:dyDescent="0.25">
      <c r="A155" s="198">
        <f t="shared" si="98"/>
        <v>0.15</v>
      </c>
      <c r="B155" s="199">
        <f t="shared" si="98"/>
        <v>1.8043541088156727</v>
      </c>
      <c r="C155" s="200">
        <f t="shared" si="99"/>
        <v>0</v>
      </c>
      <c r="D155" s="200">
        <f t="shared" si="100"/>
        <v>0</v>
      </c>
      <c r="E155" s="200">
        <f t="shared" si="101"/>
        <v>0</v>
      </c>
      <c r="F155" s="201">
        <f t="shared" si="102"/>
        <v>0</v>
      </c>
      <c r="G155" s="102"/>
      <c r="H155" s="198">
        <f t="shared" si="103"/>
        <v>0.15</v>
      </c>
      <c r="I155" s="199">
        <f t="shared" si="103"/>
        <v>1.8043541088156727</v>
      </c>
      <c r="J155" s="200">
        <f t="shared" si="104"/>
        <v>0</v>
      </c>
      <c r="K155" s="200">
        <f t="shared" si="105"/>
        <v>0</v>
      </c>
      <c r="L155" s="200">
        <f t="shared" si="106"/>
        <v>0</v>
      </c>
      <c r="M155" s="201">
        <f t="shared" si="107"/>
        <v>0</v>
      </c>
      <c r="N155" s="102"/>
      <c r="O155" s="198">
        <f t="shared" si="108"/>
        <v>0.15</v>
      </c>
      <c r="P155" s="199">
        <f t="shared" si="108"/>
        <v>1.8043541088156727</v>
      </c>
      <c r="Q155" s="200">
        <f t="shared" si="109"/>
        <v>0</v>
      </c>
      <c r="R155" s="200">
        <f t="shared" si="110"/>
        <v>0</v>
      </c>
      <c r="S155" s="200">
        <f t="shared" si="111"/>
        <v>0</v>
      </c>
      <c r="T155" s="201">
        <f t="shared" si="112"/>
        <v>0</v>
      </c>
      <c r="U155" s="102"/>
      <c r="V155" s="198">
        <f t="shared" si="113"/>
        <v>0.15</v>
      </c>
      <c r="W155" s="199">
        <f t="shared" si="113"/>
        <v>1.8043541088156727</v>
      </c>
      <c r="X155" s="200">
        <f t="shared" si="114"/>
        <v>0</v>
      </c>
      <c r="Y155" s="200">
        <f t="shared" si="115"/>
        <v>0</v>
      </c>
      <c r="Z155" s="200">
        <f t="shared" si="116"/>
        <v>0</v>
      </c>
      <c r="AA155" s="201">
        <f t="shared" si="117"/>
        <v>0</v>
      </c>
      <c r="AB155" s="102"/>
    </row>
    <row r="156" spans="1:28" x14ac:dyDescent="0.25">
      <c r="A156" s="198">
        <f t="shared" si="98"/>
        <v>0.2</v>
      </c>
      <c r="B156" s="199">
        <f t="shared" si="98"/>
        <v>2.4058054784208971</v>
      </c>
      <c r="C156" s="200">
        <f t="shared" si="99"/>
        <v>0</v>
      </c>
      <c r="D156" s="200">
        <f t="shared" si="100"/>
        <v>0</v>
      </c>
      <c r="E156" s="200">
        <f t="shared" si="101"/>
        <v>0</v>
      </c>
      <c r="F156" s="201">
        <f t="shared" si="102"/>
        <v>0</v>
      </c>
      <c r="G156" s="102"/>
      <c r="H156" s="198">
        <f t="shared" si="103"/>
        <v>0.2</v>
      </c>
      <c r="I156" s="199">
        <f t="shared" si="103"/>
        <v>2.4058054784208971</v>
      </c>
      <c r="J156" s="200">
        <f t="shared" si="104"/>
        <v>0</v>
      </c>
      <c r="K156" s="200">
        <f t="shared" si="105"/>
        <v>0</v>
      </c>
      <c r="L156" s="200">
        <f t="shared" si="106"/>
        <v>0</v>
      </c>
      <c r="M156" s="201">
        <f t="shared" si="107"/>
        <v>0</v>
      </c>
      <c r="N156" s="102"/>
      <c r="O156" s="198">
        <f t="shared" si="108"/>
        <v>0.2</v>
      </c>
      <c r="P156" s="199">
        <f t="shared" si="108"/>
        <v>2.4058054784208971</v>
      </c>
      <c r="Q156" s="200">
        <f t="shared" si="109"/>
        <v>0</v>
      </c>
      <c r="R156" s="200">
        <f t="shared" si="110"/>
        <v>0</v>
      </c>
      <c r="S156" s="200">
        <f t="shared" si="111"/>
        <v>0</v>
      </c>
      <c r="T156" s="201">
        <f t="shared" si="112"/>
        <v>0</v>
      </c>
      <c r="U156" s="102"/>
      <c r="V156" s="198">
        <f t="shared" si="113"/>
        <v>0.2</v>
      </c>
      <c r="W156" s="199">
        <f t="shared" si="113"/>
        <v>2.4058054784208971</v>
      </c>
      <c r="X156" s="200">
        <f t="shared" si="114"/>
        <v>0</v>
      </c>
      <c r="Y156" s="200">
        <f t="shared" si="115"/>
        <v>0</v>
      </c>
      <c r="Z156" s="200">
        <f t="shared" si="116"/>
        <v>0</v>
      </c>
      <c r="AA156" s="201">
        <f t="shared" si="117"/>
        <v>0</v>
      </c>
      <c r="AB156" s="102"/>
    </row>
    <row r="157" spans="1:28" x14ac:dyDescent="0.25">
      <c r="A157" s="198">
        <f t="shared" si="98"/>
        <v>0.25</v>
      </c>
      <c r="B157" s="199">
        <f t="shared" si="98"/>
        <v>3.0072568480261213</v>
      </c>
      <c r="C157" s="200">
        <f t="shared" si="99"/>
        <v>0</v>
      </c>
      <c r="D157" s="200">
        <f t="shared" si="100"/>
        <v>0</v>
      </c>
      <c r="E157" s="200">
        <f t="shared" si="101"/>
        <v>0</v>
      </c>
      <c r="F157" s="201">
        <f t="shared" si="102"/>
        <v>0</v>
      </c>
      <c r="G157" s="102"/>
      <c r="H157" s="198">
        <f t="shared" si="103"/>
        <v>0.25</v>
      </c>
      <c r="I157" s="199">
        <f t="shared" si="103"/>
        <v>3.0072568480261213</v>
      </c>
      <c r="J157" s="200">
        <f t="shared" si="104"/>
        <v>0</v>
      </c>
      <c r="K157" s="200">
        <f t="shared" si="105"/>
        <v>0</v>
      </c>
      <c r="L157" s="200">
        <f t="shared" si="106"/>
        <v>0</v>
      </c>
      <c r="M157" s="201">
        <f t="shared" si="107"/>
        <v>0</v>
      </c>
      <c r="N157" s="102"/>
      <c r="O157" s="198">
        <f t="shared" si="108"/>
        <v>0.25</v>
      </c>
      <c r="P157" s="199">
        <f t="shared" si="108"/>
        <v>3.0072568480261213</v>
      </c>
      <c r="Q157" s="200">
        <f t="shared" si="109"/>
        <v>0</v>
      </c>
      <c r="R157" s="200">
        <f t="shared" si="110"/>
        <v>0</v>
      </c>
      <c r="S157" s="200">
        <f t="shared" si="111"/>
        <v>0</v>
      </c>
      <c r="T157" s="201">
        <f t="shared" si="112"/>
        <v>0</v>
      </c>
      <c r="U157" s="102"/>
      <c r="V157" s="198">
        <f t="shared" si="113"/>
        <v>0.25</v>
      </c>
      <c r="W157" s="199">
        <f t="shared" si="113"/>
        <v>3.0072568480261213</v>
      </c>
      <c r="X157" s="200">
        <f t="shared" si="114"/>
        <v>0</v>
      </c>
      <c r="Y157" s="200">
        <f t="shared" si="115"/>
        <v>0</v>
      </c>
      <c r="Z157" s="200">
        <f t="shared" si="116"/>
        <v>0</v>
      </c>
      <c r="AA157" s="201">
        <f t="shared" si="117"/>
        <v>0</v>
      </c>
      <c r="AB157" s="102"/>
    </row>
    <row r="158" spans="1:28" x14ac:dyDescent="0.25">
      <c r="A158" s="198">
        <f t="shared" si="98"/>
        <v>0.3</v>
      </c>
      <c r="B158" s="199">
        <f t="shared" si="98"/>
        <v>3.6087082176313454</v>
      </c>
      <c r="C158" s="200">
        <f t="shared" si="99"/>
        <v>0</v>
      </c>
      <c r="D158" s="200">
        <f t="shared" si="100"/>
        <v>0</v>
      </c>
      <c r="E158" s="200">
        <f t="shared" si="101"/>
        <v>0</v>
      </c>
      <c r="F158" s="201">
        <f t="shared" si="102"/>
        <v>0</v>
      </c>
      <c r="G158" s="102"/>
      <c r="H158" s="198">
        <f t="shared" si="103"/>
        <v>0.3</v>
      </c>
      <c r="I158" s="199">
        <f t="shared" si="103"/>
        <v>3.6087082176313454</v>
      </c>
      <c r="J158" s="200">
        <f t="shared" si="104"/>
        <v>0</v>
      </c>
      <c r="K158" s="200">
        <f t="shared" si="105"/>
        <v>0</v>
      </c>
      <c r="L158" s="200">
        <f t="shared" si="106"/>
        <v>0</v>
      </c>
      <c r="M158" s="201">
        <f t="shared" si="107"/>
        <v>0</v>
      </c>
      <c r="N158" s="102"/>
      <c r="O158" s="198">
        <f t="shared" si="108"/>
        <v>0.3</v>
      </c>
      <c r="P158" s="199">
        <f t="shared" si="108"/>
        <v>3.6087082176313454</v>
      </c>
      <c r="Q158" s="200">
        <f t="shared" si="109"/>
        <v>0</v>
      </c>
      <c r="R158" s="200">
        <f t="shared" si="110"/>
        <v>0</v>
      </c>
      <c r="S158" s="200">
        <f t="shared" si="111"/>
        <v>0</v>
      </c>
      <c r="T158" s="201">
        <f t="shared" si="112"/>
        <v>0</v>
      </c>
      <c r="U158" s="102"/>
      <c r="V158" s="198">
        <f t="shared" si="113"/>
        <v>0.3</v>
      </c>
      <c r="W158" s="199">
        <f t="shared" si="113"/>
        <v>3.6087082176313454</v>
      </c>
      <c r="X158" s="200">
        <f t="shared" si="114"/>
        <v>0</v>
      </c>
      <c r="Y158" s="200">
        <f t="shared" si="115"/>
        <v>0</v>
      </c>
      <c r="Z158" s="200">
        <f t="shared" si="116"/>
        <v>0</v>
      </c>
      <c r="AA158" s="201">
        <f t="shared" si="117"/>
        <v>0</v>
      </c>
      <c r="AB158" s="102"/>
    </row>
    <row r="159" spans="1:28" x14ac:dyDescent="0.25">
      <c r="A159" s="198">
        <f t="shared" si="98"/>
        <v>0.35</v>
      </c>
      <c r="B159" s="199">
        <f t="shared" si="98"/>
        <v>4.2101595872365696</v>
      </c>
      <c r="C159" s="200">
        <f t="shared" si="99"/>
        <v>0</v>
      </c>
      <c r="D159" s="200">
        <f t="shared" si="100"/>
        <v>0</v>
      </c>
      <c r="E159" s="200">
        <f t="shared" si="101"/>
        <v>0</v>
      </c>
      <c r="F159" s="201">
        <f t="shared" si="102"/>
        <v>0</v>
      </c>
      <c r="G159" s="102"/>
      <c r="H159" s="198">
        <f t="shared" si="103"/>
        <v>0.35</v>
      </c>
      <c r="I159" s="199">
        <f t="shared" si="103"/>
        <v>4.2101595872365696</v>
      </c>
      <c r="J159" s="200">
        <f t="shared" si="104"/>
        <v>0</v>
      </c>
      <c r="K159" s="200">
        <f t="shared" si="105"/>
        <v>0</v>
      </c>
      <c r="L159" s="200">
        <f t="shared" si="106"/>
        <v>0</v>
      </c>
      <c r="M159" s="201">
        <f t="shared" si="107"/>
        <v>0</v>
      </c>
      <c r="N159" s="102"/>
      <c r="O159" s="198">
        <f t="shared" si="108"/>
        <v>0.35</v>
      </c>
      <c r="P159" s="199">
        <f t="shared" si="108"/>
        <v>4.2101595872365696</v>
      </c>
      <c r="Q159" s="200">
        <f t="shared" si="109"/>
        <v>0</v>
      </c>
      <c r="R159" s="200">
        <f t="shared" si="110"/>
        <v>0</v>
      </c>
      <c r="S159" s="200">
        <f t="shared" si="111"/>
        <v>0</v>
      </c>
      <c r="T159" s="201">
        <f t="shared" si="112"/>
        <v>0</v>
      </c>
      <c r="U159" s="102"/>
      <c r="V159" s="198">
        <f t="shared" si="113"/>
        <v>0.35</v>
      </c>
      <c r="W159" s="199">
        <f t="shared" si="113"/>
        <v>4.2101595872365696</v>
      </c>
      <c r="X159" s="200">
        <f t="shared" si="114"/>
        <v>0</v>
      </c>
      <c r="Y159" s="200">
        <f t="shared" si="115"/>
        <v>0</v>
      </c>
      <c r="Z159" s="200">
        <f t="shared" si="116"/>
        <v>0</v>
      </c>
      <c r="AA159" s="201">
        <f t="shared" si="117"/>
        <v>0</v>
      </c>
      <c r="AB159" s="102"/>
    </row>
    <row r="160" spans="1:28" x14ac:dyDescent="0.25">
      <c r="A160" s="198">
        <f t="shared" si="98"/>
        <v>0.4</v>
      </c>
      <c r="B160" s="199">
        <f t="shared" si="98"/>
        <v>4.8116109568417942</v>
      </c>
      <c r="C160" s="200">
        <f t="shared" si="99"/>
        <v>0</v>
      </c>
      <c r="D160" s="200">
        <f t="shared" si="100"/>
        <v>0</v>
      </c>
      <c r="E160" s="200">
        <f t="shared" si="101"/>
        <v>0</v>
      </c>
      <c r="F160" s="201">
        <f t="shared" si="102"/>
        <v>0</v>
      </c>
      <c r="G160" s="102"/>
      <c r="H160" s="198">
        <f t="shared" si="103"/>
        <v>0.4</v>
      </c>
      <c r="I160" s="199">
        <f t="shared" si="103"/>
        <v>4.8116109568417942</v>
      </c>
      <c r="J160" s="200">
        <f t="shared" si="104"/>
        <v>0</v>
      </c>
      <c r="K160" s="200">
        <f t="shared" si="105"/>
        <v>0</v>
      </c>
      <c r="L160" s="200">
        <f t="shared" si="106"/>
        <v>0</v>
      </c>
      <c r="M160" s="201">
        <f t="shared" si="107"/>
        <v>0</v>
      </c>
      <c r="N160" s="102"/>
      <c r="O160" s="198">
        <f t="shared" si="108"/>
        <v>0.4</v>
      </c>
      <c r="P160" s="199">
        <f t="shared" si="108"/>
        <v>4.8116109568417942</v>
      </c>
      <c r="Q160" s="200">
        <f t="shared" si="109"/>
        <v>0</v>
      </c>
      <c r="R160" s="200">
        <f t="shared" si="110"/>
        <v>0</v>
      </c>
      <c r="S160" s="200">
        <f t="shared" si="111"/>
        <v>0</v>
      </c>
      <c r="T160" s="201">
        <f t="shared" si="112"/>
        <v>0</v>
      </c>
      <c r="U160" s="102"/>
      <c r="V160" s="198">
        <f t="shared" si="113"/>
        <v>0.4</v>
      </c>
      <c r="W160" s="199">
        <f t="shared" si="113"/>
        <v>4.8116109568417942</v>
      </c>
      <c r="X160" s="200">
        <f t="shared" si="114"/>
        <v>0</v>
      </c>
      <c r="Y160" s="200">
        <f t="shared" si="115"/>
        <v>0</v>
      </c>
      <c r="Z160" s="200">
        <f t="shared" si="116"/>
        <v>0</v>
      </c>
      <c r="AA160" s="201">
        <f t="shared" si="117"/>
        <v>0</v>
      </c>
      <c r="AB160" s="102"/>
    </row>
    <row r="161" spans="1:29" x14ac:dyDescent="0.25">
      <c r="A161" s="198">
        <f t="shared" si="98"/>
        <v>0.45</v>
      </c>
      <c r="B161" s="199">
        <f t="shared" si="98"/>
        <v>5.4130623264470188</v>
      </c>
      <c r="C161" s="200">
        <f t="shared" si="99"/>
        <v>0</v>
      </c>
      <c r="D161" s="200">
        <f t="shared" si="100"/>
        <v>0</v>
      </c>
      <c r="E161" s="200">
        <f t="shared" si="101"/>
        <v>0</v>
      </c>
      <c r="F161" s="201">
        <f t="shared" si="102"/>
        <v>0</v>
      </c>
      <c r="G161" s="102"/>
      <c r="H161" s="198">
        <f t="shared" si="103"/>
        <v>0.45</v>
      </c>
      <c r="I161" s="199">
        <f t="shared" si="103"/>
        <v>5.4130623264470188</v>
      </c>
      <c r="J161" s="200">
        <f t="shared" si="104"/>
        <v>0</v>
      </c>
      <c r="K161" s="200">
        <f t="shared" si="105"/>
        <v>0</v>
      </c>
      <c r="L161" s="200">
        <f t="shared" si="106"/>
        <v>0</v>
      </c>
      <c r="M161" s="201">
        <f t="shared" si="107"/>
        <v>0</v>
      </c>
      <c r="N161" s="102"/>
      <c r="O161" s="198">
        <f t="shared" si="108"/>
        <v>0.45</v>
      </c>
      <c r="P161" s="199">
        <f t="shared" si="108"/>
        <v>5.4130623264470188</v>
      </c>
      <c r="Q161" s="200">
        <f t="shared" si="109"/>
        <v>0</v>
      </c>
      <c r="R161" s="200">
        <f t="shared" si="110"/>
        <v>0</v>
      </c>
      <c r="S161" s="200">
        <f t="shared" si="111"/>
        <v>0</v>
      </c>
      <c r="T161" s="201">
        <f t="shared" si="112"/>
        <v>0</v>
      </c>
      <c r="U161" s="102"/>
      <c r="V161" s="198">
        <f t="shared" si="113"/>
        <v>0.45</v>
      </c>
      <c r="W161" s="199">
        <f t="shared" si="113"/>
        <v>5.4130623264470188</v>
      </c>
      <c r="X161" s="200">
        <f t="shared" si="114"/>
        <v>0</v>
      </c>
      <c r="Y161" s="200">
        <f t="shared" si="115"/>
        <v>0</v>
      </c>
      <c r="Z161" s="200">
        <f t="shared" si="116"/>
        <v>0</v>
      </c>
      <c r="AA161" s="201">
        <f t="shared" si="117"/>
        <v>0</v>
      </c>
      <c r="AB161" s="102"/>
    </row>
    <row r="162" spans="1:29" x14ac:dyDescent="0.25">
      <c r="A162" s="198">
        <f t="shared" si="98"/>
        <v>0.5</v>
      </c>
      <c r="B162" s="199">
        <f t="shared" si="98"/>
        <v>6.0145136960522425</v>
      </c>
      <c r="C162" s="200">
        <f t="shared" si="99"/>
        <v>0</v>
      </c>
      <c r="D162" s="200">
        <f t="shared" si="100"/>
        <v>0</v>
      </c>
      <c r="E162" s="200">
        <f t="shared" si="101"/>
        <v>0</v>
      </c>
      <c r="F162" s="201">
        <f t="shared" si="102"/>
        <v>0</v>
      </c>
      <c r="G162" s="102"/>
      <c r="H162" s="198">
        <f t="shared" si="103"/>
        <v>0.5</v>
      </c>
      <c r="I162" s="199">
        <f t="shared" si="103"/>
        <v>6.0145136960522425</v>
      </c>
      <c r="J162" s="200">
        <f t="shared" si="104"/>
        <v>0</v>
      </c>
      <c r="K162" s="200">
        <f t="shared" si="105"/>
        <v>0</v>
      </c>
      <c r="L162" s="200">
        <f t="shared" si="106"/>
        <v>0</v>
      </c>
      <c r="M162" s="201">
        <f t="shared" si="107"/>
        <v>0</v>
      </c>
      <c r="N162" s="102"/>
      <c r="O162" s="198">
        <f t="shared" si="108"/>
        <v>0.5</v>
      </c>
      <c r="P162" s="199">
        <f t="shared" si="108"/>
        <v>6.0145136960522425</v>
      </c>
      <c r="Q162" s="200">
        <f t="shared" si="109"/>
        <v>0</v>
      </c>
      <c r="R162" s="200">
        <f t="shared" si="110"/>
        <v>0</v>
      </c>
      <c r="S162" s="200">
        <f t="shared" si="111"/>
        <v>0</v>
      </c>
      <c r="T162" s="201">
        <f t="shared" si="112"/>
        <v>0</v>
      </c>
      <c r="U162" s="102"/>
      <c r="V162" s="198">
        <f t="shared" si="113"/>
        <v>0.5</v>
      </c>
      <c r="W162" s="199">
        <f t="shared" si="113"/>
        <v>6.0145136960522425</v>
      </c>
      <c r="X162" s="200">
        <f t="shared" si="114"/>
        <v>0</v>
      </c>
      <c r="Y162" s="200">
        <f t="shared" si="115"/>
        <v>0</v>
      </c>
      <c r="Z162" s="200">
        <f t="shared" si="116"/>
        <v>0</v>
      </c>
      <c r="AA162" s="201">
        <f t="shared" si="117"/>
        <v>0</v>
      </c>
      <c r="AB162" s="102"/>
    </row>
    <row r="163" spans="1:29" x14ac:dyDescent="0.25">
      <c r="A163" s="198">
        <f t="shared" si="98"/>
        <v>0.55000000000000004</v>
      </c>
      <c r="B163" s="199">
        <f t="shared" si="98"/>
        <v>6.6159650656574671</v>
      </c>
      <c r="C163" s="200">
        <f t="shared" si="99"/>
        <v>0</v>
      </c>
      <c r="D163" s="200">
        <f t="shared" si="100"/>
        <v>0</v>
      </c>
      <c r="E163" s="200">
        <f t="shared" si="101"/>
        <v>0</v>
      </c>
      <c r="F163" s="201">
        <f t="shared" si="102"/>
        <v>0</v>
      </c>
      <c r="G163" s="102"/>
      <c r="H163" s="198">
        <f t="shared" si="103"/>
        <v>0.55000000000000004</v>
      </c>
      <c r="I163" s="199">
        <f t="shared" si="103"/>
        <v>6.6159650656574671</v>
      </c>
      <c r="J163" s="200">
        <f t="shared" si="104"/>
        <v>0</v>
      </c>
      <c r="K163" s="200">
        <f t="shared" si="105"/>
        <v>0</v>
      </c>
      <c r="L163" s="200">
        <f t="shared" si="106"/>
        <v>0</v>
      </c>
      <c r="M163" s="201">
        <f t="shared" si="107"/>
        <v>0</v>
      </c>
      <c r="N163" s="102"/>
      <c r="O163" s="198">
        <f t="shared" si="108"/>
        <v>0.55000000000000004</v>
      </c>
      <c r="P163" s="199">
        <f t="shared" si="108"/>
        <v>6.6159650656574671</v>
      </c>
      <c r="Q163" s="200">
        <f t="shared" si="109"/>
        <v>0</v>
      </c>
      <c r="R163" s="200">
        <f t="shared" si="110"/>
        <v>0</v>
      </c>
      <c r="S163" s="200">
        <f t="shared" si="111"/>
        <v>0</v>
      </c>
      <c r="T163" s="201">
        <f t="shared" si="112"/>
        <v>0</v>
      </c>
      <c r="U163" s="102"/>
      <c r="V163" s="198">
        <f t="shared" si="113"/>
        <v>0.55000000000000004</v>
      </c>
      <c r="W163" s="199">
        <f t="shared" si="113"/>
        <v>6.6159650656574671</v>
      </c>
      <c r="X163" s="200">
        <f t="shared" si="114"/>
        <v>0</v>
      </c>
      <c r="Y163" s="200">
        <f t="shared" si="115"/>
        <v>0</v>
      </c>
      <c r="Z163" s="200">
        <f t="shared" si="116"/>
        <v>0</v>
      </c>
      <c r="AA163" s="201">
        <f t="shared" si="117"/>
        <v>0</v>
      </c>
      <c r="AB163" s="102"/>
    </row>
    <row r="164" spans="1:29" ht="13.8" thickBot="1" x14ac:dyDescent="0.3">
      <c r="A164" s="202">
        <f t="shared" si="98"/>
        <v>0.6</v>
      </c>
      <c r="B164" s="203">
        <f t="shared" si="98"/>
        <v>7.2174164352626908</v>
      </c>
      <c r="C164" s="204">
        <f t="shared" si="99"/>
        <v>0</v>
      </c>
      <c r="D164" s="204">
        <f t="shared" si="100"/>
        <v>0</v>
      </c>
      <c r="E164" s="204">
        <f t="shared" si="101"/>
        <v>0</v>
      </c>
      <c r="F164" s="205">
        <f t="shared" si="102"/>
        <v>0</v>
      </c>
      <c r="G164" s="102"/>
      <c r="H164" s="202">
        <f t="shared" si="103"/>
        <v>0.6</v>
      </c>
      <c r="I164" s="203">
        <f t="shared" si="103"/>
        <v>7.2174164352626908</v>
      </c>
      <c r="J164" s="204">
        <f t="shared" si="104"/>
        <v>0</v>
      </c>
      <c r="K164" s="204">
        <f t="shared" si="105"/>
        <v>0</v>
      </c>
      <c r="L164" s="204">
        <f t="shared" si="106"/>
        <v>0</v>
      </c>
      <c r="M164" s="205">
        <f t="shared" si="107"/>
        <v>0</v>
      </c>
      <c r="N164" s="102"/>
      <c r="O164" s="202">
        <f t="shared" si="108"/>
        <v>0.6</v>
      </c>
      <c r="P164" s="203">
        <f t="shared" si="108"/>
        <v>7.2174164352626908</v>
      </c>
      <c r="Q164" s="204">
        <f t="shared" si="109"/>
        <v>0</v>
      </c>
      <c r="R164" s="204">
        <f t="shared" si="110"/>
        <v>0</v>
      </c>
      <c r="S164" s="204">
        <f t="shared" si="111"/>
        <v>0</v>
      </c>
      <c r="T164" s="205">
        <f t="shared" si="112"/>
        <v>0</v>
      </c>
      <c r="U164" s="102"/>
      <c r="V164" s="202">
        <f t="shared" si="113"/>
        <v>0.6</v>
      </c>
      <c r="W164" s="203">
        <f t="shared" si="113"/>
        <v>7.2174164352626908</v>
      </c>
      <c r="X164" s="204">
        <f t="shared" si="114"/>
        <v>0</v>
      </c>
      <c r="Y164" s="204">
        <f t="shared" si="115"/>
        <v>0</v>
      </c>
      <c r="Z164" s="204">
        <f t="shared" si="116"/>
        <v>0</v>
      </c>
      <c r="AA164" s="205">
        <f t="shared" si="117"/>
        <v>0</v>
      </c>
      <c r="AB164" s="102"/>
    </row>
    <row r="165" spans="1:29" x14ac:dyDescent="0.25">
      <c r="A165" s="102"/>
      <c r="B165" s="102"/>
      <c r="C165" s="102"/>
      <c r="D165" s="102"/>
      <c r="E165" s="102"/>
      <c r="F165" s="102"/>
      <c r="G165" s="102"/>
      <c r="H165" s="102"/>
      <c r="I165" s="102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  <c r="AB165" s="102"/>
    </row>
    <row r="166" spans="1:29" ht="13.8" thickBot="1" x14ac:dyDescent="0.3"/>
    <row r="167" spans="1:29" ht="13.8" thickBot="1" x14ac:dyDescent="0.3">
      <c r="A167" s="103" t="s">
        <v>234</v>
      </c>
      <c r="B167" s="105"/>
    </row>
    <row r="168" spans="1:29" ht="13.8" thickBot="1" x14ac:dyDescent="0.3"/>
    <row r="169" spans="1:29" ht="26.25" customHeight="1" thickBot="1" x14ac:dyDescent="0.3">
      <c r="A169" s="268" t="s">
        <v>297</v>
      </c>
      <c r="B169" s="269"/>
      <c r="C169" s="270" t="s">
        <v>301</v>
      </c>
      <c r="D169" s="271"/>
      <c r="E169" s="272"/>
      <c r="F169" s="260" t="s">
        <v>286</v>
      </c>
      <c r="G169" s="672" t="s">
        <v>295</v>
      </c>
      <c r="H169" s="673">
        <f>E106</f>
        <v>3</v>
      </c>
      <c r="I169" s="263" t="s">
        <v>288</v>
      </c>
      <c r="J169" s="674" t="s">
        <v>295</v>
      </c>
      <c r="K169" s="675">
        <f>L106</f>
        <v>2.5</v>
      </c>
      <c r="L169" s="260" t="s">
        <v>289</v>
      </c>
      <c r="M169" s="672" t="s">
        <v>295</v>
      </c>
      <c r="N169" s="673">
        <f>S106</f>
        <v>4</v>
      </c>
      <c r="O169" s="263" t="s">
        <v>290</v>
      </c>
      <c r="P169" s="674" t="s">
        <v>295</v>
      </c>
      <c r="Q169" s="675">
        <f>Z106</f>
        <v>0</v>
      </c>
      <c r="R169" s="260" t="s">
        <v>291</v>
      </c>
      <c r="S169" s="672" t="s">
        <v>296</v>
      </c>
      <c r="T169" s="673">
        <f>E138</f>
        <v>0</v>
      </c>
      <c r="U169" s="264" t="s">
        <v>292</v>
      </c>
      <c r="V169" s="676" t="s">
        <v>295</v>
      </c>
      <c r="W169" s="675">
        <f>L138</f>
        <v>0</v>
      </c>
      <c r="X169" s="260" t="s">
        <v>293</v>
      </c>
      <c r="Y169" s="672" t="s">
        <v>295</v>
      </c>
      <c r="Z169" s="673">
        <f>S138</f>
        <v>0</v>
      </c>
      <c r="AA169" s="264" t="s">
        <v>294</v>
      </c>
      <c r="AB169" s="676" t="s">
        <v>296</v>
      </c>
      <c r="AC169" s="675">
        <f>Z138</f>
        <v>0</v>
      </c>
    </row>
    <row r="170" spans="1:29" ht="13.8" thickBot="1" x14ac:dyDescent="0.3">
      <c r="A170" s="149" t="str">
        <f t="shared" ref="A170:A181" si="118">A121</f>
        <v>Froude No</v>
      </c>
      <c r="B170" s="211" t="s">
        <v>235</v>
      </c>
      <c r="C170" s="150" t="s">
        <v>236</v>
      </c>
      <c r="D170" s="150" t="s">
        <v>237</v>
      </c>
      <c r="E170" s="212" t="s">
        <v>285</v>
      </c>
      <c r="F170" s="149" t="s">
        <v>287</v>
      </c>
      <c r="G170" s="150" t="s">
        <v>238</v>
      </c>
      <c r="H170" s="212" t="s">
        <v>239</v>
      </c>
      <c r="I170" s="149" t="s">
        <v>287</v>
      </c>
      <c r="J170" s="150" t="s">
        <v>238</v>
      </c>
      <c r="K170" s="212" t="s">
        <v>239</v>
      </c>
      <c r="L170" s="149" t="s">
        <v>287</v>
      </c>
      <c r="M170" s="150" t="s">
        <v>238</v>
      </c>
      <c r="N170" s="212" t="s">
        <v>239</v>
      </c>
      <c r="O170" s="149" t="s">
        <v>287</v>
      </c>
      <c r="P170" s="150" t="s">
        <v>238</v>
      </c>
      <c r="Q170" s="212" t="s">
        <v>239</v>
      </c>
      <c r="R170" s="149" t="s">
        <v>287</v>
      </c>
      <c r="S170" s="150" t="s">
        <v>238</v>
      </c>
      <c r="T170" s="212" t="s">
        <v>239</v>
      </c>
      <c r="U170" s="149" t="s">
        <v>287</v>
      </c>
      <c r="V170" s="150" t="s">
        <v>238</v>
      </c>
      <c r="W170" s="212" t="s">
        <v>239</v>
      </c>
      <c r="X170" s="149" t="s">
        <v>287</v>
      </c>
      <c r="Y170" s="150" t="s">
        <v>238</v>
      </c>
      <c r="Z170" s="212" t="s">
        <v>239</v>
      </c>
      <c r="AA170" s="149" t="s">
        <v>287</v>
      </c>
      <c r="AB170" s="150" t="s">
        <v>238</v>
      </c>
      <c r="AC170" s="212" t="s">
        <v>239</v>
      </c>
    </row>
    <row r="171" spans="1:29" x14ac:dyDescent="0.25">
      <c r="A171" s="163">
        <f t="shared" si="118"/>
        <v>0.1</v>
      </c>
      <c r="B171" s="153">
        <f t="shared" ref="B171:B181" si="119">B122/0.5144</f>
        <v>2.3384578911556155</v>
      </c>
      <c r="C171" s="153">
        <f t="shared" ref="C171:C181" si="120">W48</f>
        <v>144.89634523499709</v>
      </c>
      <c r="D171" s="153">
        <v>0</v>
      </c>
      <c r="E171" s="164">
        <f t="shared" ref="E171:E181" si="121">SUM(C171:D171)</f>
        <v>144.89634523499709</v>
      </c>
      <c r="F171" s="677">
        <f t="shared" ref="F171:F181" si="122">E171+C122</f>
        <v>199.75731375765659</v>
      </c>
      <c r="G171" s="261">
        <f t="shared" ref="G171:G181" si="123">C108</f>
        <v>1052.0498622697314</v>
      </c>
      <c r="H171" s="262">
        <f t="shared" ref="H171:H181" si="124">G171/F171</f>
        <v>5.2666400167258303</v>
      </c>
      <c r="I171" s="677">
        <f t="shared" ref="I171:I181" si="125">E171+J122</f>
        <v>182.9942400423995</v>
      </c>
      <c r="J171" s="261">
        <f t="shared" ref="J171:J181" si="126">J108</f>
        <v>876.70821855810948</v>
      </c>
      <c r="K171" s="262">
        <f t="shared" ref="K171:K181" si="127">J171/I171</f>
        <v>4.7909060872898372</v>
      </c>
      <c r="L171" s="677">
        <f t="shared" ref="L171:L181" si="128">E171+Q122</f>
        <v>242.42695594194731</v>
      </c>
      <c r="M171" s="261">
        <f t="shared" ref="M171:M181" si="129">Q108</f>
        <v>1402.7331496929753</v>
      </c>
      <c r="N171" s="262">
        <f t="shared" ref="N171:N181" si="130">M171/L171</f>
        <v>5.7862094759333624</v>
      </c>
      <c r="O171" s="677">
        <f t="shared" ref="O171:O181" si="131">E171+X122</f>
        <v>144.89634523499709</v>
      </c>
      <c r="P171" s="261">
        <f t="shared" ref="P171:P181" si="132">X108</f>
        <v>0</v>
      </c>
      <c r="Q171" s="262">
        <f t="shared" ref="Q171:Q181" si="133">P171/O171</f>
        <v>0</v>
      </c>
      <c r="R171" s="677">
        <f t="shared" ref="R171:R181" si="134">E171+C154</f>
        <v>144.89634523499709</v>
      </c>
      <c r="S171" s="261">
        <f t="shared" ref="S171:S181" si="135">C140</f>
        <v>0</v>
      </c>
      <c r="T171" s="262">
        <f t="shared" ref="T171:T181" si="136">S171/R171</f>
        <v>0</v>
      </c>
      <c r="U171" s="677">
        <f t="shared" ref="U171:U181" si="137">E171+J154</f>
        <v>144.89634523499709</v>
      </c>
      <c r="V171" s="261">
        <f t="shared" ref="V171:V181" si="138">J140</f>
        <v>0</v>
      </c>
      <c r="W171" s="262">
        <f t="shared" ref="W171:W181" si="139">V171/U171</f>
        <v>0</v>
      </c>
      <c r="X171" s="677">
        <f t="shared" ref="X171:X181" si="140">E171+Q154</f>
        <v>144.89634523499709</v>
      </c>
      <c r="Y171" s="261">
        <f t="shared" ref="Y171:Y181" si="141">Q140</f>
        <v>0</v>
      </c>
      <c r="Z171" s="262">
        <f t="shared" ref="Z171:Z181" si="142">Y171/X171</f>
        <v>0</v>
      </c>
      <c r="AA171" s="677">
        <f t="shared" ref="AA171:AA181" si="143">E171+X154</f>
        <v>144.89634523499709</v>
      </c>
      <c r="AB171" s="261">
        <f t="shared" ref="AB171:AB181" si="144">X140</f>
        <v>0</v>
      </c>
      <c r="AC171" s="262">
        <f t="shared" ref="AC171:AC181" si="145">AB171/AA171</f>
        <v>0</v>
      </c>
    </row>
    <row r="172" spans="1:29" x14ac:dyDescent="0.25">
      <c r="A172" s="165">
        <f t="shared" si="118"/>
        <v>0.15</v>
      </c>
      <c r="B172" s="155">
        <f t="shared" si="119"/>
        <v>3.5076868367334231</v>
      </c>
      <c r="C172" s="155">
        <f t="shared" si="120"/>
        <v>345.84494271231762</v>
      </c>
      <c r="D172" s="155">
        <v>0</v>
      </c>
      <c r="E172" s="164">
        <f t="shared" si="121"/>
        <v>345.84494271231762</v>
      </c>
      <c r="F172" s="165">
        <f t="shared" si="122"/>
        <v>469.2821218883015</v>
      </c>
      <c r="G172" s="155">
        <f t="shared" si="123"/>
        <v>2367.1121901068955</v>
      </c>
      <c r="H172" s="164">
        <f t="shared" si="124"/>
        <v>5.0441132949665519</v>
      </c>
      <c r="I172" s="165">
        <f t="shared" si="125"/>
        <v>431.56520602897308</v>
      </c>
      <c r="J172" s="155">
        <f t="shared" si="126"/>
        <v>1972.5934917557461</v>
      </c>
      <c r="K172" s="164">
        <f t="shared" si="127"/>
        <v>4.5707889890069504</v>
      </c>
      <c r="L172" s="165">
        <f t="shared" si="128"/>
        <v>565.28881680295558</v>
      </c>
      <c r="M172" s="155">
        <f t="shared" si="129"/>
        <v>3156.1495868091934</v>
      </c>
      <c r="N172" s="164">
        <f t="shared" si="130"/>
        <v>5.5832514159029296</v>
      </c>
      <c r="O172" s="165">
        <f t="shared" si="131"/>
        <v>345.84494271231762</v>
      </c>
      <c r="P172" s="155">
        <f t="shared" si="132"/>
        <v>0</v>
      </c>
      <c r="Q172" s="164">
        <f t="shared" si="133"/>
        <v>0</v>
      </c>
      <c r="R172" s="165">
        <f t="shared" si="134"/>
        <v>345.84494271231762</v>
      </c>
      <c r="S172" s="155">
        <f t="shared" si="135"/>
        <v>0</v>
      </c>
      <c r="T172" s="164">
        <f t="shared" si="136"/>
        <v>0</v>
      </c>
      <c r="U172" s="165">
        <f t="shared" si="137"/>
        <v>345.84494271231762</v>
      </c>
      <c r="V172" s="155">
        <f t="shared" si="138"/>
        <v>0</v>
      </c>
      <c r="W172" s="164">
        <f t="shared" si="139"/>
        <v>0</v>
      </c>
      <c r="X172" s="165">
        <f t="shared" si="140"/>
        <v>345.84494271231762</v>
      </c>
      <c r="Y172" s="155">
        <f t="shared" si="141"/>
        <v>0</v>
      </c>
      <c r="Z172" s="164">
        <f t="shared" si="142"/>
        <v>0</v>
      </c>
      <c r="AA172" s="165">
        <f t="shared" si="143"/>
        <v>345.84494271231762</v>
      </c>
      <c r="AB172" s="155">
        <f t="shared" si="144"/>
        <v>0</v>
      </c>
      <c r="AC172" s="164">
        <f t="shared" si="145"/>
        <v>0</v>
      </c>
    </row>
    <row r="173" spans="1:29" x14ac:dyDescent="0.25">
      <c r="A173" s="165">
        <f t="shared" si="118"/>
        <v>0.2</v>
      </c>
      <c r="B173" s="155">
        <f t="shared" si="119"/>
        <v>4.6769157823112311</v>
      </c>
      <c r="C173" s="155">
        <f t="shared" si="120"/>
        <v>658.22482599071009</v>
      </c>
      <c r="D173" s="155">
        <v>0</v>
      </c>
      <c r="E173" s="164">
        <f t="shared" si="121"/>
        <v>658.22482599071009</v>
      </c>
      <c r="F173" s="165">
        <f t="shared" si="122"/>
        <v>877.66870008134811</v>
      </c>
      <c r="G173" s="155">
        <f t="shared" si="123"/>
        <v>4208.1994490789257</v>
      </c>
      <c r="H173" s="164">
        <f t="shared" si="124"/>
        <v>4.7947470938508827</v>
      </c>
      <c r="I173" s="165">
        <f t="shared" si="125"/>
        <v>810.61640522031985</v>
      </c>
      <c r="J173" s="155">
        <f t="shared" si="126"/>
        <v>3506.8328742324379</v>
      </c>
      <c r="K173" s="164">
        <f t="shared" si="127"/>
        <v>4.3261311412508432</v>
      </c>
      <c r="L173" s="165">
        <f t="shared" si="128"/>
        <v>1048.3472688185111</v>
      </c>
      <c r="M173" s="155">
        <f t="shared" si="129"/>
        <v>5610.9325987719012</v>
      </c>
      <c r="N173" s="164">
        <f t="shared" si="130"/>
        <v>5.3521698063805045</v>
      </c>
      <c r="O173" s="165">
        <f t="shared" si="131"/>
        <v>658.22482599071009</v>
      </c>
      <c r="P173" s="155">
        <f t="shared" si="132"/>
        <v>0</v>
      </c>
      <c r="Q173" s="164">
        <f t="shared" si="133"/>
        <v>0</v>
      </c>
      <c r="R173" s="165">
        <f t="shared" si="134"/>
        <v>658.22482599071009</v>
      </c>
      <c r="S173" s="155">
        <f t="shared" si="135"/>
        <v>0</v>
      </c>
      <c r="T173" s="164">
        <f t="shared" si="136"/>
        <v>0</v>
      </c>
      <c r="U173" s="165">
        <f t="shared" si="137"/>
        <v>658.22482599071009</v>
      </c>
      <c r="V173" s="155">
        <f t="shared" si="138"/>
        <v>0</v>
      </c>
      <c r="W173" s="164">
        <f t="shared" si="139"/>
        <v>0</v>
      </c>
      <c r="X173" s="165">
        <f t="shared" si="140"/>
        <v>658.22482599071009</v>
      </c>
      <c r="Y173" s="155">
        <f t="shared" si="141"/>
        <v>0</v>
      </c>
      <c r="Z173" s="164">
        <f t="shared" si="142"/>
        <v>0</v>
      </c>
      <c r="AA173" s="165">
        <f t="shared" si="143"/>
        <v>658.22482599071009</v>
      </c>
      <c r="AB173" s="155">
        <f t="shared" si="144"/>
        <v>0</v>
      </c>
      <c r="AC173" s="164">
        <f t="shared" si="145"/>
        <v>0</v>
      </c>
    </row>
    <row r="174" spans="1:29" x14ac:dyDescent="0.25">
      <c r="A174" s="165">
        <f t="shared" si="118"/>
        <v>0.25</v>
      </c>
      <c r="B174" s="155">
        <f t="shared" si="119"/>
        <v>5.8461447278890386</v>
      </c>
      <c r="C174" s="155">
        <f t="shared" si="120"/>
        <v>1123.3426992152276</v>
      </c>
      <c r="D174" s="155">
        <v>0</v>
      </c>
      <c r="E174" s="164">
        <f t="shared" si="121"/>
        <v>1123.3426992152276</v>
      </c>
      <c r="F174" s="165">
        <f t="shared" si="122"/>
        <v>1466.2237524818497</v>
      </c>
      <c r="G174" s="155">
        <f t="shared" si="123"/>
        <v>6575.3116391858221</v>
      </c>
      <c r="H174" s="164">
        <f t="shared" si="124"/>
        <v>4.4845212935992302</v>
      </c>
      <c r="I174" s="165">
        <f t="shared" si="125"/>
        <v>1361.4545417614929</v>
      </c>
      <c r="J174" s="155">
        <f t="shared" si="126"/>
        <v>5479.4263659881854</v>
      </c>
      <c r="K174" s="164">
        <f t="shared" si="127"/>
        <v>4.024685509439581</v>
      </c>
      <c r="L174" s="165">
        <f t="shared" si="128"/>
        <v>1732.9090161336667</v>
      </c>
      <c r="M174" s="155">
        <f t="shared" si="129"/>
        <v>8767.0821855810955</v>
      </c>
      <c r="N174" s="164">
        <f t="shared" si="130"/>
        <v>5.0591705069095516</v>
      </c>
      <c r="O174" s="165">
        <f t="shared" si="131"/>
        <v>1123.3426992152276</v>
      </c>
      <c r="P174" s="155">
        <f t="shared" si="132"/>
        <v>0</v>
      </c>
      <c r="Q174" s="164">
        <f t="shared" si="133"/>
        <v>0</v>
      </c>
      <c r="R174" s="165">
        <f t="shared" si="134"/>
        <v>1123.3426992152276</v>
      </c>
      <c r="S174" s="155">
        <f t="shared" si="135"/>
        <v>0</v>
      </c>
      <c r="T174" s="164">
        <f t="shared" si="136"/>
        <v>0</v>
      </c>
      <c r="U174" s="165">
        <f t="shared" si="137"/>
        <v>1123.3426992152276</v>
      </c>
      <c r="V174" s="155">
        <f t="shared" si="138"/>
        <v>0</v>
      </c>
      <c r="W174" s="164">
        <f t="shared" si="139"/>
        <v>0</v>
      </c>
      <c r="X174" s="165">
        <f t="shared" si="140"/>
        <v>1123.3426992152276</v>
      </c>
      <c r="Y174" s="155">
        <f t="shared" si="141"/>
        <v>0</v>
      </c>
      <c r="Z174" s="164">
        <f t="shared" si="142"/>
        <v>0</v>
      </c>
      <c r="AA174" s="165">
        <f t="shared" si="143"/>
        <v>1123.3426992152276</v>
      </c>
      <c r="AB174" s="155">
        <f t="shared" si="144"/>
        <v>0</v>
      </c>
      <c r="AC174" s="164">
        <f t="shared" si="145"/>
        <v>0</v>
      </c>
    </row>
    <row r="175" spans="1:29" x14ac:dyDescent="0.25">
      <c r="A175" s="213">
        <f t="shared" si="118"/>
        <v>0.3</v>
      </c>
      <c r="B175" s="214">
        <f t="shared" si="119"/>
        <v>7.0153736734668461</v>
      </c>
      <c r="C175" s="214">
        <f t="shared" si="120"/>
        <v>1698.4349628844636</v>
      </c>
      <c r="D175" s="214">
        <v>0</v>
      </c>
      <c r="E175" s="164">
        <f t="shared" si="121"/>
        <v>1698.4349628844636</v>
      </c>
      <c r="F175" s="165">
        <f t="shared" si="122"/>
        <v>2192.1836795883992</v>
      </c>
      <c r="G175" s="214">
        <f t="shared" si="123"/>
        <v>9468.4487604275819</v>
      </c>
      <c r="H175" s="164">
        <f t="shared" si="124"/>
        <v>4.3191858641176282</v>
      </c>
      <c r="I175" s="165">
        <f t="shared" si="125"/>
        <v>2041.3160161510855</v>
      </c>
      <c r="J175" s="214">
        <f t="shared" si="126"/>
        <v>7890.3739670229843</v>
      </c>
      <c r="K175" s="164">
        <f t="shared" si="127"/>
        <v>3.8653368241828305</v>
      </c>
      <c r="L175" s="165">
        <f t="shared" si="128"/>
        <v>2576.2104592470155</v>
      </c>
      <c r="M175" s="214">
        <f t="shared" si="129"/>
        <v>12624.598347236773</v>
      </c>
      <c r="N175" s="164">
        <f t="shared" si="130"/>
        <v>4.9004530285645753</v>
      </c>
      <c r="O175" s="165">
        <f t="shared" si="131"/>
        <v>1698.4349628844636</v>
      </c>
      <c r="P175" s="214">
        <f t="shared" si="132"/>
        <v>0</v>
      </c>
      <c r="Q175" s="164">
        <f t="shared" si="133"/>
        <v>0</v>
      </c>
      <c r="R175" s="165">
        <f t="shared" si="134"/>
        <v>1698.4349628844636</v>
      </c>
      <c r="S175" s="214">
        <f t="shared" si="135"/>
        <v>0</v>
      </c>
      <c r="T175" s="164">
        <f t="shared" si="136"/>
        <v>0</v>
      </c>
      <c r="U175" s="165">
        <f t="shared" si="137"/>
        <v>1698.4349628844636</v>
      </c>
      <c r="V175" s="214">
        <f t="shared" si="138"/>
        <v>0</v>
      </c>
      <c r="W175" s="164">
        <f t="shared" si="139"/>
        <v>0</v>
      </c>
      <c r="X175" s="165">
        <f t="shared" si="140"/>
        <v>1698.4349628844636</v>
      </c>
      <c r="Y175" s="214">
        <f t="shared" si="141"/>
        <v>0</v>
      </c>
      <c r="Z175" s="164">
        <f t="shared" si="142"/>
        <v>0</v>
      </c>
      <c r="AA175" s="165">
        <f t="shared" si="143"/>
        <v>1698.4349628844636</v>
      </c>
      <c r="AB175" s="214">
        <f t="shared" si="144"/>
        <v>0</v>
      </c>
      <c r="AC175" s="164">
        <f t="shared" si="145"/>
        <v>0</v>
      </c>
    </row>
    <row r="176" spans="1:29" x14ac:dyDescent="0.25">
      <c r="A176" s="213">
        <f t="shared" si="118"/>
        <v>0.35</v>
      </c>
      <c r="B176" s="214">
        <f t="shared" si="119"/>
        <v>8.1846026190446537</v>
      </c>
      <c r="C176" s="214">
        <f t="shared" si="120"/>
        <v>2719.6000713870526</v>
      </c>
      <c r="D176" s="214">
        <v>0</v>
      </c>
      <c r="E176" s="164">
        <f t="shared" si="121"/>
        <v>2719.6000713870526</v>
      </c>
      <c r="F176" s="165">
        <f t="shared" si="122"/>
        <v>3391.6469357896317</v>
      </c>
      <c r="G176" s="214">
        <f t="shared" si="123"/>
        <v>12887.610812804209</v>
      </c>
      <c r="H176" s="164">
        <f t="shared" si="124"/>
        <v>3.7998090770623678</v>
      </c>
      <c r="I176" s="165">
        <f t="shared" si="125"/>
        <v>3186.2992827777325</v>
      </c>
      <c r="J176" s="214">
        <f t="shared" si="126"/>
        <v>10739.67567733684</v>
      </c>
      <c r="K176" s="164">
        <f t="shared" si="127"/>
        <v>3.3705796989585584</v>
      </c>
      <c r="L176" s="165">
        <f t="shared" si="128"/>
        <v>3914.3500525471927</v>
      </c>
      <c r="M176" s="214">
        <f t="shared" si="129"/>
        <v>17183.481083738945</v>
      </c>
      <c r="N176" s="164">
        <f t="shared" si="130"/>
        <v>4.389868267544724</v>
      </c>
      <c r="O176" s="165">
        <f t="shared" si="131"/>
        <v>2719.6000713870526</v>
      </c>
      <c r="P176" s="214">
        <f t="shared" si="132"/>
        <v>0</v>
      </c>
      <c r="Q176" s="164">
        <f t="shared" si="133"/>
        <v>0</v>
      </c>
      <c r="R176" s="165">
        <f t="shared" si="134"/>
        <v>2719.6000713870526</v>
      </c>
      <c r="S176" s="214">
        <f t="shared" si="135"/>
        <v>0</v>
      </c>
      <c r="T176" s="164">
        <f t="shared" si="136"/>
        <v>0</v>
      </c>
      <c r="U176" s="165">
        <f t="shared" si="137"/>
        <v>2719.6000713870526</v>
      </c>
      <c r="V176" s="214">
        <f t="shared" si="138"/>
        <v>0</v>
      </c>
      <c r="W176" s="164">
        <f t="shared" si="139"/>
        <v>0</v>
      </c>
      <c r="X176" s="165">
        <f t="shared" si="140"/>
        <v>2719.6000713870526</v>
      </c>
      <c r="Y176" s="214">
        <f t="shared" si="141"/>
        <v>0</v>
      </c>
      <c r="Z176" s="164">
        <f t="shared" si="142"/>
        <v>0</v>
      </c>
      <c r="AA176" s="165">
        <f t="shared" si="143"/>
        <v>2719.6000713870526</v>
      </c>
      <c r="AB176" s="214">
        <f t="shared" si="144"/>
        <v>0</v>
      </c>
      <c r="AC176" s="164">
        <f t="shared" si="145"/>
        <v>0</v>
      </c>
    </row>
    <row r="177" spans="1:29" x14ac:dyDescent="0.25">
      <c r="A177" s="213">
        <f t="shared" si="118"/>
        <v>0.4</v>
      </c>
      <c r="B177" s="214">
        <f t="shared" si="119"/>
        <v>9.3538315646224621</v>
      </c>
      <c r="C177" s="214">
        <f t="shared" si="120"/>
        <v>5050.9078321204297</v>
      </c>
      <c r="D177" s="214">
        <v>0</v>
      </c>
      <c r="E177" s="164">
        <f t="shared" si="121"/>
        <v>5050.9078321204297</v>
      </c>
      <c r="F177" s="165">
        <f t="shared" si="122"/>
        <v>5928.6833284829818</v>
      </c>
      <c r="G177" s="214">
        <f t="shared" si="123"/>
        <v>16832.797796315703</v>
      </c>
      <c r="H177" s="164">
        <f t="shared" si="124"/>
        <v>2.8392135089162944</v>
      </c>
      <c r="I177" s="165">
        <f t="shared" si="125"/>
        <v>5660.4741490388687</v>
      </c>
      <c r="J177" s="214">
        <f t="shared" si="126"/>
        <v>14027.331496929752</v>
      </c>
      <c r="K177" s="164">
        <f t="shared" si="127"/>
        <v>2.4781195227808874</v>
      </c>
      <c r="L177" s="165">
        <f t="shared" si="128"/>
        <v>6611.3976034316329</v>
      </c>
      <c r="M177" s="214">
        <f t="shared" si="129"/>
        <v>22443.730395087605</v>
      </c>
      <c r="N177" s="164">
        <f t="shared" si="130"/>
        <v>3.3947028663709822</v>
      </c>
      <c r="O177" s="165">
        <f t="shared" si="131"/>
        <v>5050.9078321204297</v>
      </c>
      <c r="P177" s="214">
        <f t="shared" si="132"/>
        <v>0</v>
      </c>
      <c r="Q177" s="164">
        <f t="shared" si="133"/>
        <v>0</v>
      </c>
      <c r="R177" s="165">
        <f t="shared" si="134"/>
        <v>5050.9078321204297</v>
      </c>
      <c r="S177" s="214">
        <f t="shared" si="135"/>
        <v>0</v>
      </c>
      <c r="T177" s="164">
        <f t="shared" si="136"/>
        <v>0</v>
      </c>
      <c r="U177" s="165">
        <f t="shared" si="137"/>
        <v>5050.9078321204297</v>
      </c>
      <c r="V177" s="214">
        <f t="shared" si="138"/>
        <v>0</v>
      </c>
      <c r="W177" s="164">
        <f t="shared" si="139"/>
        <v>0</v>
      </c>
      <c r="X177" s="165">
        <f t="shared" si="140"/>
        <v>5050.9078321204297</v>
      </c>
      <c r="Y177" s="214">
        <f t="shared" si="141"/>
        <v>0</v>
      </c>
      <c r="Z177" s="164">
        <f t="shared" si="142"/>
        <v>0</v>
      </c>
      <c r="AA177" s="165">
        <f t="shared" si="143"/>
        <v>5050.9078321204297</v>
      </c>
      <c r="AB177" s="214">
        <f t="shared" si="144"/>
        <v>0</v>
      </c>
      <c r="AC177" s="164">
        <f t="shared" si="145"/>
        <v>0</v>
      </c>
    </row>
    <row r="178" spans="1:29" x14ac:dyDescent="0.25">
      <c r="A178" s="213">
        <f t="shared" si="118"/>
        <v>0.45</v>
      </c>
      <c r="B178" s="214">
        <f t="shared" si="119"/>
        <v>10.523060510200271</v>
      </c>
      <c r="C178" s="214">
        <f t="shared" si="120"/>
        <v>8559.0402301463437</v>
      </c>
      <c r="D178" s="214">
        <v>0</v>
      </c>
      <c r="E178" s="164">
        <f t="shared" si="121"/>
        <v>8559.0402301463437</v>
      </c>
      <c r="F178" s="165">
        <f t="shared" si="122"/>
        <v>9669.9748427301984</v>
      </c>
      <c r="G178" s="214">
        <f t="shared" si="123"/>
        <v>21304.009710962066</v>
      </c>
      <c r="H178" s="164">
        <f t="shared" si="124"/>
        <v>2.2031091142887753</v>
      </c>
      <c r="I178" s="165">
        <f t="shared" si="125"/>
        <v>9330.5225999962422</v>
      </c>
      <c r="J178" s="214">
        <f t="shared" si="126"/>
        <v>17753.341425801718</v>
      </c>
      <c r="K178" s="164">
        <f t="shared" si="127"/>
        <v>1.9027167273362446</v>
      </c>
      <c r="L178" s="165">
        <f t="shared" si="128"/>
        <v>10534.035096962087</v>
      </c>
      <c r="M178" s="214">
        <f t="shared" si="129"/>
        <v>28405.346281282757</v>
      </c>
      <c r="N178" s="164">
        <f t="shared" si="130"/>
        <v>2.6965304386990869</v>
      </c>
      <c r="O178" s="165">
        <f t="shared" si="131"/>
        <v>8559.0402301463437</v>
      </c>
      <c r="P178" s="214">
        <f t="shared" si="132"/>
        <v>0</v>
      </c>
      <c r="Q178" s="164">
        <f t="shared" si="133"/>
        <v>0</v>
      </c>
      <c r="R178" s="165">
        <f t="shared" si="134"/>
        <v>8559.0402301463437</v>
      </c>
      <c r="S178" s="214">
        <f t="shared" si="135"/>
        <v>0</v>
      </c>
      <c r="T178" s="164">
        <f t="shared" si="136"/>
        <v>0</v>
      </c>
      <c r="U178" s="165">
        <f t="shared" si="137"/>
        <v>8559.0402301463437</v>
      </c>
      <c r="V178" s="214">
        <f t="shared" si="138"/>
        <v>0</v>
      </c>
      <c r="W178" s="164">
        <f t="shared" si="139"/>
        <v>0</v>
      </c>
      <c r="X178" s="165">
        <f t="shared" si="140"/>
        <v>8559.0402301463437</v>
      </c>
      <c r="Y178" s="214">
        <f t="shared" si="141"/>
        <v>0</v>
      </c>
      <c r="Z178" s="164">
        <f t="shared" si="142"/>
        <v>0</v>
      </c>
      <c r="AA178" s="165">
        <f t="shared" si="143"/>
        <v>8559.0402301463437</v>
      </c>
      <c r="AB178" s="214">
        <f t="shared" si="144"/>
        <v>0</v>
      </c>
      <c r="AC178" s="164">
        <f t="shared" si="145"/>
        <v>0</v>
      </c>
    </row>
    <row r="179" spans="1:29" x14ac:dyDescent="0.25">
      <c r="A179" s="213">
        <f t="shared" si="118"/>
        <v>0.5</v>
      </c>
      <c r="B179" s="214">
        <f t="shared" si="119"/>
        <v>11.692289455778077</v>
      </c>
      <c r="C179" s="214">
        <f t="shared" si="120"/>
        <v>12988.012324953252</v>
      </c>
      <c r="D179" s="214">
        <v>0</v>
      </c>
      <c r="E179" s="164">
        <f t="shared" si="121"/>
        <v>12988.012324953252</v>
      </c>
      <c r="F179" s="165">
        <f t="shared" si="122"/>
        <v>14359.53653801974</v>
      </c>
      <c r="G179" s="214">
        <f t="shared" si="123"/>
        <v>26301.246556743288</v>
      </c>
      <c r="H179" s="164">
        <f t="shared" si="124"/>
        <v>1.8316222454050302</v>
      </c>
      <c r="I179" s="165">
        <f t="shared" si="125"/>
        <v>13940.459695138314</v>
      </c>
      <c r="J179" s="214">
        <f t="shared" si="126"/>
        <v>21917.705463952741</v>
      </c>
      <c r="K179" s="164">
        <f t="shared" si="127"/>
        <v>1.5722369235496922</v>
      </c>
      <c r="L179" s="165">
        <f t="shared" si="128"/>
        <v>15426.277592627008</v>
      </c>
      <c r="M179" s="214">
        <f t="shared" si="129"/>
        <v>35068.328742324382</v>
      </c>
      <c r="N179" s="164">
        <f t="shared" si="130"/>
        <v>2.2732852129593009</v>
      </c>
      <c r="O179" s="165">
        <f t="shared" si="131"/>
        <v>12988.012324953252</v>
      </c>
      <c r="P179" s="214">
        <f t="shared" si="132"/>
        <v>0</v>
      </c>
      <c r="Q179" s="164">
        <f t="shared" si="133"/>
        <v>0</v>
      </c>
      <c r="R179" s="165">
        <f t="shared" si="134"/>
        <v>12988.012324953252</v>
      </c>
      <c r="S179" s="214">
        <f t="shared" si="135"/>
        <v>0</v>
      </c>
      <c r="T179" s="164">
        <f t="shared" si="136"/>
        <v>0</v>
      </c>
      <c r="U179" s="165">
        <f t="shared" si="137"/>
        <v>12988.012324953252</v>
      </c>
      <c r="V179" s="214">
        <f t="shared" si="138"/>
        <v>0</v>
      </c>
      <c r="W179" s="164">
        <f t="shared" si="139"/>
        <v>0</v>
      </c>
      <c r="X179" s="165">
        <f t="shared" si="140"/>
        <v>12988.012324953252</v>
      </c>
      <c r="Y179" s="214">
        <f t="shared" si="141"/>
        <v>0</v>
      </c>
      <c r="Z179" s="164">
        <f t="shared" si="142"/>
        <v>0</v>
      </c>
      <c r="AA179" s="165">
        <f t="shared" si="143"/>
        <v>12988.012324953252</v>
      </c>
      <c r="AB179" s="214">
        <f t="shared" si="144"/>
        <v>0</v>
      </c>
      <c r="AC179" s="164">
        <f t="shared" si="145"/>
        <v>0</v>
      </c>
    </row>
    <row r="180" spans="1:29" x14ac:dyDescent="0.25">
      <c r="A180" s="165">
        <f t="shared" si="118"/>
        <v>0.55000000000000004</v>
      </c>
      <c r="B180" s="155">
        <f t="shared" si="119"/>
        <v>12.861518401355886</v>
      </c>
      <c r="C180" s="155">
        <f t="shared" si="120"/>
        <v>15974.716493222872</v>
      </c>
      <c r="D180" s="155">
        <v>0</v>
      </c>
      <c r="E180" s="164">
        <f t="shared" si="121"/>
        <v>15974.716493222872</v>
      </c>
      <c r="F180" s="165">
        <f t="shared" si="122"/>
        <v>17634.260791033321</v>
      </c>
      <c r="G180" s="155">
        <f t="shared" si="123"/>
        <v>31824.508333659382</v>
      </c>
      <c r="H180" s="164">
        <f t="shared" si="124"/>
        <v>1.8046976116992399</v>
      </c>
      <c r="I180" s="165">
        <f t="shared" si="125"/>
        <v>17127.177811146794</v>
      </c>
      <c r="J180" s="155">
        <f t="shared" si="126"/>
        <v>26520.423611382816</v>
      </c>
      <c r="K180" s="164">
        <f t="shared" si="127"/>
        <v>1.5484409576294971</v>
      </c>
      <c r="L180" s="165">
        <f t="shared" si="128"/>
        <v>18925.017467108115</v>
      </c>
      <c r="M180" s="155">
        <f t="shared" si="129"/>
        <v>42432.677778212499</v>
      </c>
      <c r="N180" s="164">
        <f t="shared" si="130"/>
        <v>2.2421473508260137</v>
      </c>
      <c r="O180" s="165">
        <f t="shared" si="131"/>
        <v>15974.716493222872</v>
      </c>
      <c r="P180" s="155">
        <f t="shared" si="132"/>
        <v>0</v>
      </c>
      <c r="Q180" s="164">
        <f t="shared" si="133"/>
        <v>0</v>
      </c>
      <c r="R180" s="165">
        <f t="shared" si="134"/>
        <v>15974.716493222872</v>
      </c>
      <c r="S180" s="155">
        <f t="shared" si="135"/>
        <v>0</v>
      </c>
      <c r="T180" s="164">
        <f t="shared" si="136"/>
        <v>0</v>
      </c>
      <c r="U180" s="165">
        <f t="shared" si="137"/>
        <v>15974.716493222872</v>
      </c>
      <c r="V180" s="155">
        <f t="shared" si="138"/>
        <v>0</v>
      </c>
      <c r="W180" s="164">
        <f t="shared" si="139"/>
        <v>0</v>
      </c>
      <c r="X180" s="165">
        <f t="shared" si="140"/>
        <v>15974.716493222872</v>
      </c>
      <c r="Y180" s="155">
        <f t="shared" si="141"/>
        <v>0</v>
      </c>
      <c r="Z180" s="164">
        <f t="shared" si="142"/>
        <v>0</v>
      </c>
      <c r="AA180" s="165">
        <f t="shared" si="143"/>
        <v>15974.716493222872</v>
      </c>
      <c r="AB180" s="155">
        <f t="shared" si="144"/>
        <v>0</v>
      </c>
      <c r="AC180" s="164">
        <f t="shared" si="145"/>
        <v>0</v>
      </c>
    </row>
    <row r="181" spans="1:29" ht="13.8" thickBot="1" x14ac:dyDescent="0.3">
      <c r="A181" s="215">
        <f t="shared" si="118"/>
        <v>0.6</v>
      </c>
      <c r="B181" s="157">
        <f t="shared" si="119"/>
        <v>14.030747346933692</v>
      </c>
      <c r="C181" s="157">
        <f t="shared" si="120"/>
        <v>18262.360611048694</v>
      </c>
      <c r="D181" s="157">
        <v>0</v>
      </c>
      <c r="E181" s="205">
        <f t="shared" si="121"/>
        <v>18262.360611048694</v>
      </c>
      <c r="F181" s="215">
        <f t="shared" si="122"/>
        <v>20237.355477864436</v>
      </c>
      <c r="G181" s="157">
        <f t="shared" si="123"/>
        <v>37873.795041710327</v>
      </c>
      <c r="H181" s="205">
        <f t="shared" si="124"/>
        <v>1.8714794570435145</v>
      </c>
      <c r="I181" s="215">
        <f t="shared" si="125"/>
        <v>19633.884824115183</v>
      </c>
      <c r="J181" s="157">
        <f t="shared" si="126"/>
        <v>31561.495868091937</v>
      </c>
      <c r="K181" s="205">
        <f t="shared" si="127"/>
        <v>1.6075013249200052</v>
      </c>
      <c r="L181" s="215">
        <f t="shared" si="128"/>
        <v>21773.462596498903</v>
      </c>
      <c r="M181" s="157">
        <f t="shared" si="129"/>
        <v>50498.393388947094</v>
      </c>
      <c r="N181" s="205">
        <f t="shared" si="130"/>
        <v>2.3192633309994095</v>
      </c>
      <c r="O181" s="215">
        <f t="shared" si="131"/>
        <v>18262.360611048694</v>
      </c>
      <c r="P181" s="157">
        <f t="shared" si="132"/>
        <v>0</v>
      </c>
      <c r="Q181" s="205">
        <f t="shared" si="133"/>
        <v>0</v>
      </c>
      <c r="R181" s="215">
        <f t="shared" si="134"/>
        <v>18262.360611048694</v>
      </c>
      <c r="S181" s="157">
        <f t="shared" si="135"/>
        <v>0</v>
      </c>
      <c r="T181" s="205">
        <f t="shared" si="136"/>
        <v>0</v>
      </c>
      <c r="U181" s="215">
        <f t="shared" si="137"/>
        <v>18262.360611048694</v>
      </c>
      <c r="V181" s="157">
        <f t="shared" si="138"/>
        <v>0</v>
      </c>
      <c r="W181" s="205">
        <f t="shared" si="139"/>
        <v>0</v>
      </c>
      <c r="X181" s="215">
        <f t="shared" si="140"/>
        <v>18262.360611048694</v>
      </c>
      <c r="Y181" s="157">
        <f t="shared" si="141"/>
        <v>0</v>
      </c>
      <c r="Z181" s="205">
        <f t="shared" si="142"/>
        <v>0</v>
      </c>
      <c r="AA181" s="215">
        <f t="shared" si="143"/>
        <v>18262.360611048694</v>
      </c>
      <c r="AB181" s="157">
        <f t="shared" si="144"/>
        <v>0</v>
      </c>
      <c r="AC181" s="205">
        <f t="shared" si="145"/>
        <v>0</v>
      </c>
    </row>
    <row r="182" spans="1:29" x14ac:dyDescent="0.25">
      <c r="A182" s="257"/>
      <c r="B182" s="257"/>
      <c r="C182" s="257"/>
      <c r="D182" s="257"/>
      <c r="E182" s="257"/>
      <c r="F182" s="257"/>
      <c r="G182" s="257"/>
      <c r="H182" s="257"/>
      <c r="I182" s="257"/>
      <c r="J182" s="257"/>
      <c r="K182" s="257"/>
      <c r="L182" s="257"/>
      <c r="M182" s="257"/>
      <c r="N182" s="257"/>
      <c r="R182" s="257"/>
      <c r="S182" s="257"/>
      <c r="T182" s="257"/>
      <c r="U182" s="257"/>
      <c r="V182" s="257"/>
      <c r="W182" s="257"/>
      <c r="X182" s="257"/>
      <c r="Y182" s="257"/>
    </row>
    <row r="183" spans="1:29" ht="13.8" thickBot="1" x14ac:dyDescent="0.3">
      <c r="A183" s="257"/>
      <c r="B183" s="257"/>
      <c r="C183" s="257"/>
      <c r="D183" s="257"/>
      <c r="E183" s="257"/>
      <c r="F183" s="257"/>
      <c r="G183" s="257"/>
      <c r="H183" s="257"/>
      <c r="I183" s="257"/>
      <c r="J183" s="257"/>
      <c r="K183" s="257"/>
      <c r="L183" s="257"/>
      <c r="M183" s="257"/>
      <c r="N183" s="257"/>
      <c r="R183" s="257"/>
      <c r="S183" s="257"/>
      <c r="T183" s="257"/>
      <c r="U183" s="257"/>
      <c r="V183" s="257"/>
      <c r="W183" s="257"/>
      <c r="X183" s="257"/>
      <c r="Y183" s="257"/>
    </row>
    <row r="184" spans="1:29" ht="26.25" customHeight="1" thickBot="1" x14ac:dyDescent="0.3">
      <c r="A184" s="268" t="s">
        <v>298</v>
      </c>
      <c r="B184" s="269"/>
      <c r="C184" s="270" t="s">
        <v>301</v>
      </c>
      <c r="D184" s="271"/>
      <c r="E184" s="272"/>
      <c r="F184" s="260" t="s">
        <v>286</v>
      </c>
      <c r="G184" s="672" t="s">
        <v>295</v>
      </c>
      <c r="H184" s="673">
        <f>H169</f>
        <v>3</v>
      </c>
      <c r="I184" s="263" t="s">
        <v>288</v>
      </c>
      <c r="J184" s="674" t="s">
        <v>295</v>
      </c>
      <c r="K184" s="675">
        <f>K169</f>
        <v>2.5</v>
      </c>
      <c r="L184" s="260" t="s">
        <v>289</v>
      </c>
      <c r="M184" s="672" t="s">
        <v>295</v>
      </c>
      <c r="N184" s="673">
        <f>N169</f>
        <v>4</v>
      </c>
      <c r="O184" s="263" t="s">
        <v>290</v>
      </c>
      <c r="P184" s="674" t="s">
        <v>295</v>
      </c>
      <c r="Q184" s="675">
        <f>Q169</f>
        <v>0</v>
      </c>
      <c r="R184" s="260" t="s">
        <v>291</v>
      </c>
      <c r="S184" s="672" t="s">
        <v>296</v>
      </c>
      <c r="T184" s="673">
        <f>T169</f>
        <v>0</v>
      </c>
      <c r="U184" s="264" t="s">
        <v>292</v>
      </c>
      <c r="V184" s="676" t="s">
        <v>295</v>
      </c>
      <c r="W184" s="675">
        <f>W169</f>
        <v>0</v>
      </c>
      <c r="X184" s="260" t="s">
        <v>293</v>
      </c>
      <c r="Y184" s="672" t="s">
        <v>295</v>
      </c>
      <c r="Z184" s="673">
        <f>Z169</f>
        <v>0</v>
      </c>
      <c r="AA184" s="264" t="s">
        <v>294</v>
      </c>
      <c r="AB184" s="676" t="s">
        <v>296</v>
      </c>
      <c r="AC184" s="675">
        <f>AC169</f>
        <v>0</v>
      </c>
    </row>
    <row r="185" spans="1:29" ht="13.8" thickBot="1" x14ac:dyDescent="0.3">
      <c r="A185" s="149" t="str">
        <f>A170</f>
        <v>Froude No</v>
      </c>
      <c r="B185" s="211" t="str">
        <f>B170</f>
        <v>Boat Speed  KTS</v>
      </c>
      <c r="C185" s="150" t="str">
        <f>C170</f>
        <v>Rupright</v>
      </c>
      <c r="D185" s="150" t="str">
        <f>D170</f>
        <v>R Heel</v>
      </c>
      <c r="E185" s="212" t="str">
        <f>E170</f>
        <v>Rup+ Rheel</v>
      </c>
      <c r="F185" s="149" t="s">
        <v>287</v>
      </c>
      <c r="G185" s="150" t="s">
        <v>238</v>
      </c>
      <c r="H185" s="212" t="s">
        <v>239</v>
      </c>
      <c r="I185" s="149" t="s">
        <v>287</v>
      </c>
      <c r="J185" s="150" t="s">
        <v>238</v>
      </c>
      <c r="K185" s="212" t="s">
        <v>239</v>
      </c>
      <c r="L185" s="149" t="s">
        <v>287</v>
      </c>
      <c r="M185" s="150" t="s">
        <v>238</v>
      </c>
      <c r="N185" s="212" t="s">
        <v>239</v>
      </c>
      <c r="O185" s="149" t="s">
        <v>287</v>
      </c>
      <c r="P185" s="150" t="s">
        <v>238</v>
      </c>
      <c r="Q185" s="212" t="s">
        <v>239</v>
      </c>
      <c r="R185" s="149" t="s">
        <v>287</v>
      </c>
      <c r="S185" s="150" t="s">
        <v>238</v>
      </c>
      <c r="T185" s="212" t="s">
        <v>239</v>
      </c>
      <c r="U185" s="149" t="s">
        <v>287</v>
      </c>
      <c r="V185" s="150" t="s">
        <v>238</v>
      </c>
      <c r="W185" s="212" t="s">
        <v>239</v>
      </c>
      <c r="X185" s="149" t="s">
        <v>287</v>
      </c>
      <c r="Y185" s="150" t="s">
        <v>238</v>
      </c>
      <c r="Z185" s="212" t="s">
        <v>239</v>
      </c>
      <c r="AA185" s="149" t="s">
        <v>287</v>
      </c>
      <c r="AB185" s="150" t="s">
        <v>238</v>
      </c>
      <c r="AC185" s="212" t="s">
        <v>239</v>
      </c>
    </row>
    <row r="186" spans="1:29" x14ac:dyDescent="0.25">
      <c r="A186" s="163">
        <f t="shared" ref="A186:C196" si="146">A171</f>
        <v>0.1</v>
      </c>
      <c r="B186" s="153">
        <f t="shared" si="146"/>
        <v>2.3384578911556155</v>
      </c>
      <c r="C186" s="153">
        <f t="shared" si="146"/>
        <v>144.89634523499709</v>
      </c>
      <c r="D186" s="153">
        <f t="shared" ref="D186:D196" si="147">D68</f>
        <v>1.1665980086871441</v>
      </c>
      <c r="E186" s="164">
        <f t="shared" ref="E186:E196" si="148">SUM(C186:D186)</f>
        <v>146.06294324368423</v>
      </c>
      <c r="F186" s="677">
        <f t="shared" ref="F186:F196" si="149">E186+D122</f>
        <v>218.77713286354566</v>
      </c>
      <c r="G186" s="261">
        <f t="shared" ref="G186:G196" si="150">D108</f>
        <v>955.03238237455048</v>
      </c>
      <c r="H186" s="262">
        <f t="shared" ref="H186:H196" si="151">G186/F186</f>
        <v>4.3653208627165689</v>
      </c>
      <c r="I186" s="677">
        <f t="shared" ref="I186:I196" si="152">E186+K122</f>
        <v>196.5589082574769</v>
      </c>
      <c r="J186" s="261">
        <f t="shared" ref="J186:J196" si="153">K108</f>
        <v>795.86031864545873</v>
      </c>
      <c r="K186" s="262">
        <f t="shared" ref="K186:K196" si="154">J186/I186</f>
        <v>4.0489659090034404</v>
      </c>
      <c r="L186" s="677">
        <f t="shared" ref="L186:L196" si="155">E186+R122</f>
        <v>275.33261367899343</v>
      </c>
      <c r="M186" s="261">
        <f t="shared" ref="M186:M196" si="156">R108</f>
        <v>1273.376509832734</v>
      </c>
      <c r="N186" s="262">
        <f t="shared" ref="N186:N196" si="157">M186/L186</f>
        <v>4.6248662402099097</v>
      </c>
      <c r="O186" s="677">
        <f t="shared" ref="O186:O196" si="158">E186+Y122</f>
        <v>146.06294324368423</v>
      </c>
      <c r="P186" s="261">
        <f t="shared" ref="P186:P196" si="159">Y108</f>
        <v>0</v>
      </c>
      <c r="Q186" s="262">
        <f t="shared" ref="Q186:Q196" si="160">P186/O186</f>
        <v>0</v>
      </c>
      <c r="R186" s="677">
        <f t="shared" ref="R186:R196" si="161">E186+D154</f>
        <v>146.06294324368423</v>
      </c>
      <c r="S186" s="261">
        <f t="shared" ref="S186:S196" si="162">D140</f>
        <v>0</v>
      </c>
      <c r="T186" s="262">
        <f t="shared" ref="T186:T196" si="163">S186/R186</f>
        <v>0</v>
      </c>
      <c r="U186" s="677">
        <f t="shared" ref="U186:U196" si="164">E186+K154</f>
        <v>146.06294324368423</v>
      </c>
      <c r="V186" s="261">
        <f t="shared" ref="V186:V196" si="165">K140</f>
        <v>0</v>
      </c>
      <c r="W186" s="262">
        <f t="shared" ref="W186:W196" si="166">V186/U186</f>
        <v>0</v>
      </c>
      <c r="X186" s="677">
        <f t="shared" ref="X186:X196" si="167">E186+R154</f>
        <v>146.06294324368423</v>
      </c>
      <c r="Y186" s="261">
        <f t="shared" ref="Y186:Y196" si="168">R140</f>
        <v>0</v>
      </c>
      <c r="Z186" s="262">
        <f t="shared" ref="Z186:Z196" si="169">Y186/X186</f>
        <v>0</v>
      </c>
      <c r="AA186" s="677">
        <f t="shared" ref="AA186:AA196" si="170">E186+Y154</f>
        <v>146.06294324368423</v>
      </c>
      <c r="AB186" s="261">
        <f t="shared" ref="AB186:AB196" si="171">Y140</f>
        <v>0</v>
      </c>
      <c r="AC186" s="262">
        <f t="shared" ref="AC186:AC196" si="172">AB186/AA186</f>
        <v>0</v>
      </c>
    </row>
    <row r="187" spans="1:29" x14ac:dyDescent="0.25">
      <c r="A187" s="165">
        <f t="shared" si="146"/>
        <v>0.15</v>
      </c>
      <c r="B187" s="155">
        <f t="shared" si="146"/>
        <v>3.5076868367334231</v>
      </c>
      <c r="C187" s="155">
        <f t="shared" si="146"/>
        <v>345.84494271231762</v>
      </c>
      <c r="D187" s="155">
        <f t="shared" si="147"/>
        <v>5.9059024189786653</v>
      </c>
      <c r="E187" s="164">
        <f t="shared" si="148"/>
        <v>351.75084513129627</v>
      </c>
      <c r="F187" s="165">
        <f t="shared" si="149"/>
        <v>515.35777177598447</v>
      </c>
      <c r="G187" s="155">
        <f t="shared" si="150"/>
        <v>2148.8228603427387</v>
      </c>
      <c r="H187" s="164">
        <f t="shared" si="151"/>
        <v>4.1695749594260283</v>
      </c>
      <c r="I187" s="165">
        <f t="shared" si="152"/>
        <v>465.36676641232975</v>
      </c>
      <c r="J187" s="155">
        <f t="shared" si="153"/>
        <v>1790.6857169522821</v>
      </c>
      <c r="K187" s="164">
        <f t="shared" si="154"/>
        <v>3.8479020123359593</v>
      </c>
      <c r="L187" s="165">
        <f t="shared" si="155"/>
        <v>642.60760361074199</v>
      </c>
      <c r="M187" s="155">
        <f t="shared" si="156"/>
        <v>2865.0971471236512</v>
      </c>
      <c r="N187" s="164">
        <f t="shared" si="157"/>
        <v>4.4585484688089325</v>
      </c>
      <c r="O187" s="165">
        <f t="shared" si="158"/>
        <v>351.75084513129627</v>
      </c>
      <c r="P187" s="155">
        <f t="shared" si="159"/>
        <v>0</v>
      </c>
      <c r="Q187" s="164">
        <f t="shared" si="160"/>
        <v>0</v>
      </c>
      <c r="R187" s="165">
        <f t="shared" si="161"/>
        <v>351.75084513129627</v>
      </c>
      <c r="S187" s="155">
        <f t="shared" si="162"/>
        <v>0</v>
      </c>
      <c r="T187" s="164">
        <f t="shared" si="163"/>
        <v>0</v>
      </c>
      <c r="U187" s="165">
        <f t="shared" si="164"/>
        <v>351.75084513129627</v>
      </c>
      <c r="V187" s="155">
        <f t="shared" si="165"/>
        <v>0</v>
      </c>
      <c r="W187" s="164">
        <f t="shared" si="166"/>
        <v>0</v>
      </c>
      <c r="X187" s="165">
        <f t="shared" si="167"/>
        <v>351.75084513129627</v>
      </c>
      <c r="Y187" s="155">
        <f t="shared" si="168"/>
        <v>0</v>
      </c>
      <c r="Z187" s="164">
        <f t="shared" si="169"/>
        <v>0</v>
      </c>
      <c r="AA187" s="165">
        <f t="shared" si="170"/>
        <v>351.75084513129627</v>
      </c>
      <c r="AB187" s="155">
        <f t="shared" si="171"/>
        <v>0</v>
      </c>
      <c r="AC187" s="164">
        <f t="shared" si="172"/>
        <v>0</v>
      </c>
    </row>
    <row r="188" spans="1:29" x14ac:dyDescent="0.25">
      <c r="A188" s="165">
        <f t="shared" si="146"/>
        <v>0.2</v>
      </c>
      <c r="B188" s="155">
        <f t="shared" si="146"/>
        <v>4.6769157823112311</v>
      </c>
      <c r="C188" s="155">
        <f t="shared" si="146"/>
        <v>658.22482599071009</v>
      </c>
      <c r="D188" s="155">
        <f t="shared" si="147"/>
        <v>18.665568138994306</v>
      </c>
      <c r="E188" s="164">
        <f t="shared" si="148"/>
        <v>676.89039412970442</v>
      </c>
      <c r="F188" s="165">
        <f t="shared" si="149"/>
        <v>967.74715260915013</v>
      </c>
      <c r="G188" s="155">
        <f t="shared" si="150"/>
        <v>3820.1295294982019</v>
      </c>
      <c r="H188" s="164">
        <f t="shared" si="151"/>
        <v>3.9474458996843573</v>
      </c>
      <c r="I188" s="165">
        <f t="shared" si="152"/>
        <v>878.8742541848751</v>
      </c>
      <c r="J188" s="155">
        <f t="shared" si="153"/>
        <v>3183.4412745818349</v>
      </c>
      <c r="K188" s="164">
        <f t="shared" si="154"/>
        <v>3.6221806014039681</v>
      </c>
      <c r="L188" s="165">
        <f t="shared" si="155"/>
        <v>1193.9690758709412</v>
      </c>
      <c r="M188" s="155">
        <f t="shared" si="156"/>
        <v>5093.5060393309359</v>
      </c>
      <c r="N188" s="164">
        <f t="shared" si="157"/>
        <v>4.2660284443426439</v>
      </c>
      <c r="O188" s="165">
        <f t="shared" si="158"/>
        <v>676.89039412970442</v>
      </c>
      <c r="P188" s="155">
        <f t="shared" si="159"/>
        <v>0</v>
      </c>
      <c r="Q188" s="164">
        <f t="shared" si="160"/>
        <v>0</v>
      </c>
      <c r="R188" s="165">
        <f t="shared" si="161"/>
        <v>676.89039412970442</v>
      </c>
      <c r="S188" s="155">
        <f t="shared" si="162"/>
        <v>0</v>
      </c>
      <c r="T188" s="164">
        <f t="shared" si="163"/>
        <v>0</v>
      </c>
      <c r="U188" s="165">
        <f t="shared" si="164"/>
        <v>676.89039412970442</v>
      </c>
      <c r="V188" s="155">
        <f t="shared" si="165"/>
        <v>0</v>
      </c>
      <c r="W188" s="164">
        <f t="shared" si="166"/>
        <v>0</v>
      </c>
      <c r="X188" s="165">
        <f t="shared" si="167"/>
        <v>676.89039412970442</v>
      </c>
      <c r="Y188" s="155">
        <f t="shared" si="168"/>
        <v>0</v>
      </c>
      <c r="Z188" s="164">
        <f t="shared" si="169"/>
        <v>0</v>
      </c>
      <c r="AA188" s="165">
        <f t="shared" si="170"/>
        <v>676.89039412970442</v>
      </c>
      <c r="AB188" s="155">
        <f t="shared" si="171"/>
        <v>0</v>
      </c>
      <c r="AC188" s="164">
        <f t="shared" si="172"/>
        <v>0</v>
      </c>
    </row>
    <row r="189" spans="1:29" x14ac:dyDescent="0.25">
      <c r="A189" s="165">
        <f t="shared" si="146"/>
        <v>0.25</v>
      </c>
      <c r="B189" s="155">
        <f t="shared" si="146"/>
        <v>5.8461447278890386</v>
      </c>
      <c r="C189" s="155">
        <f t="shared" si="146"/>
        <v>1123.3426992152276</v>
      </c>
      <c r="D189" s="155">
        <f t="shared" si="147"/>
        <v>45.570234714341566</v>
      </c>
      <c r="E189" s="164">
        <f t="shared" si="148"/>
        <v>1168.9129339295691</v>
      </c>
      <c r="F189" s="165">
        <f t="shared" si="149"/>
        <v>1623.3766190537031</v>
      </c>
      <c r="G189" s="155">
        <f t="shared" si="150"/>
        <v>5968.9523898409407</v>
      </c>
      <c r="H189" s="164">
        <f t="shared" si="151"/>
        <v>3.6768746819332385</v>
      </c>
      <c r="I189" s="165">
        <f t="shared" si="152"/>
        <v>1484.5127152657733</v>
      </c>
      <c r="J189" s="155">
        <f t="shared" si="153"/>
        <v>4974.1269915341172</v>
      </c>
      <c r="K189" s="164">
        <f t="shared" si="154"/>
        <v>3.3506799506554552</v>
      </c>
      <c r="L189" s="165">
        <f t="shared" si="155"/>
        <v>1976.8483741502519</v>
      </c>
      <c r="M189" s="155">
        <f t="shared" si="156"/>
        <v>7958.6031864545876</v>
      </c>
      <c r="N189" s="164">
        <f t="shared" si="157"/>
        <v>4.0259047130388002</v>
      </c>
      <c r="O189" s="165">
        <f t="shared" si="158"/>
        <v>1168.9129339295691</v>
      </c>
      <c r="P189" s="155">
        <f t="shared" si="159"/>
        <v>0</v>
      </c>
      <c r="Q189" s="164">
        <f t="shared" si="160"/>
        <v>0</v>
      </c>
      <c r="R189" s="165">
        <f t="shared" si="161"/>
        <v>1168.9129339295691</v>
      </c>
      <c r="S189" s="155">
        <f t="shared" si="162"/>
        <v>0</v>
      </c>
      <c r="T189" s="164">
        <f t="shared" si="163"/>
        <v>0</v>
      </c>
      <c r="U189" s="165">
        <f t="shared" si="164"/>
        <v>1168.9129339295691</v>
      </c>
      <c r="V189" s="155">
        <f t="shared" si="165"/>
        <v>0</v>
      </c>
      <c r="W189" s="164">
        <f t="shared" si="166"/>
        <v>0</v>
      </c>
      <c r="X189" s="165">
        <f t="shared" si="167"/>
        <v>1168.9129339295691</v>
      </c>
      <c r="Y189" s="155">
        <f t="shared" si="168"/>
        <v>0</v>
      </c>
      <c r="Z189" s="164">
        <f t="shared" si="169"/>
        <v>0</v>
      </c>
      <c r="AA189" s="165">
        <f t="shared" si="170"/>
        <v>1168.9129339295691</v>
      </c>
      <c r="AB189" s="155">
        <f t="shared" si="171"/>
        <v>0</v>
      </c>
      <c r="AC189" s="164">
        <f t="shared" si="172"/>
        <v>0</v>
      </c>
    </row>
    <row r="190" spans="1:29" x14ac:dyDescent="0.25">
      <c r="A190" s="213">
        <f t="shared" si="146"/>
        <v>0.3</v>
      </c>
      <c r="B190" s="214">
        <f t="shared" si="146"/>
        <v>7.0153736734668461</v>
      </c>
      <c r="C190" s="214">
        <f t="shared" si="146"/>
        <v>1698.4349628844636</v>
      </c>
      <c r="D190" s="214">
        <f t="shared" si="147"/>
        <v>94.494438703658645</v>
      </c>
      <c r="E190" s="164">
        <f t="shared" si="148"/>
        <v>1792.9294015881223</v>
      </c>
      <c r="F190" s="165">
        <f t="shared" si="149"/>
        <v>2447.3571081668752</v>
      </c>
      <c r="G190" s="214">
        <f t="shared" si="150"/>
        <v>8595.291441370955</v>
      </c>
      <c r="H190" s="164">
        <f t="shared" si="151"/>
        <v>3.5120708018818796</v>
      </c>
      <c r="I190" s="165">
        <f t="shared" si="152"/>
        <v>2247.3930867122563</v>
      </c>
      <c r="J190" s="214">
        <f t="shared" si="153"/>
        <v>7162.7428678091283</v>
      </c>
      <c r="K190" s="164">
        <f t="shared" si="154"/>
        <v>3.1871339776556882</v>
      </c>
      <c r="L190" s="165">
        <f t="shared" si="155"/>
        <v>2956.3564355059052</v>
      </c>
      <c r="M190" s="214">
        <f t="shared" si="156"/>
        <v>11460.388588494605</v>
      </c>
      <c r="N190" s="164">
        <f t="shared" si="157"/>
        <v>3.8765246473175861</v>
      </c>
      <c r="O190" s="165">
        <f t="shared" si="158"/>
        <v>1792.9294015881223</v>
      </c>
      <c r="P190" s="214">
        <f t="shared" si="159"/>
        <v>0</v>
      </c>
      <c r="Q190" s="164">
        <f t="shared" si="160"/>
        <v>0</v>
      </c>
      <c r="R190" s="165">
        <f t="shared" si="161"/>
        <v>1792.9294015881223</v>
      </c>
      <c r="S190" s="214">
        <f t="shared" si="162"/>
        <v>0</v>
      </c>
      <c r="T190" s="164">
        <f t="shared" si="163"/>
        <v>0</v>
      </c>
      <c r="U190" s="165">
        <f t="shared" si="164"/>
        <v>1792.9294015881223</v>
      </c>
      <c r="V190" s="214">
        <f t="shared" si="165"/>
        <v>0</v>
      </c>
      <c r="W190" s="164">
        <f t="shared" si="166"/>
        <v>0</v>
      </c>
      <c r="X190" s="165">
        <f t="shared" si="167"/>
        <v>1792.9294015881223</v>
      </c>
      <c r="Y190" s="214">
        <f t="shared" si="168"/>
        <v>0</v>
      </c>
      <c r="Z190" s="164">
        <f t="shared" si="169"/>
        <v>0</v>
      </c>
      <c r="AA190" s="165">
        <f t="shared" si="170"/>
        <v>1792.9294015881223</v>
      </c>
      <c r="AB190" s="214">
        <f t="shared" si="171"/>
        <v>0</v>
      </c>
      <c r="AC190" s="164">
        <f t="shared" si="172"/>
        <v>0</v>
      </c>
    </row>
    <row r="191" spans="1:29" x14ac:dyDescent="0.25">
      <c r="A191" s="213">
        <f t="shared" si="146"/>
        <v>0.35</v>
      </c>
      <c r="B191" s="214">
        <f t="shared" si="146"/>
        <v>8.1846026190446537</v>
      </c>
      <c r="C191" s="214">
        <f t="shared" si="146"/>
        <v>2719.6000713870526</v>
      </c>
      <c r="D191" s="214">
        <f t="shared" si="147"/>
        <v>175.06261367861447</v>
      </c>
      <c r="E191" s="164">
        <f t="shared" si="148"/>
        <v>2894.6626850656671</v>
      </c>
      <c r="F191" s="165">
        <f t="shared" si="149"/>
        <v>3785.4115079089693</v>
      </c>
      <c r="G191" s="214">
        <f t="shared" si="150"/>
        <v>11699.14668408824</v>
      </c>
      <c r="H191" s="164">
        <f t="shared" si="151"/>
        <v>3.0905878157882904</v>
      </c>
      <c r="I191" s="165">
        <f t="shared" si="152"/>
        <v>3513.2382564846271</v>
      </c>
      <c r="J191" s="214">
        <f t="shared" si="153"/>
        <v>9749.2889034068685</v>
      </c>
      <c r="K191" s="164">
        <f t="shared" si="154"/>
        <v>2.7750150122645199</v>
      </c>
      <c r="L191" s="165">
        <f t="shared" si="155"/>
        <v>4478.2161478982043</v>
      </c>
      <c r="M191" s="214">
        <f t="shared" si="156"/>
        <v>15598.862245450988</v>
      </c>
      <c r="N191" s="164">
        <f t="shared" si="157"/>
        <v>3.483275869292759</v>
      </c>
      <c r="O191" s="165">
        <f t="shared" si="158"/>
        <v>2894.6626850656671</v>
      </c>
      <c r="P191" s="214">
        <f t="shared" si="159"/>
        <v>0</v>
      </c>
      <c r="Q191" s="164">
        <f t="shared" si="160"/>
        <v>0</v>
      </c>
      <c r="R191" s="165">
        <f t="shared" si="161"/>
        <v>2894.6626850656671</v>
      </c>
      <c r="S191" s="214">
        <f t="shared" si="162"/>
        <v>0</v>
      </c>
      <c r="T191" s="164">
        <f t="shared" si="163"/>
        <v>0</v>
      </c>
      <c r="U191" s="165">
        <f t="shared" si="164"/>
        <v>2894.6626850656671</v>
      </c>
      <c r="V191" s="214">
        <f t="shared" si="165"/>
        <v>0</v>
      </c>
      <c r="W191" s="164">
        <f t="shared" si="166"/>
        <v>0</v>
      </c>
      <c r="X191" s="165">
        <f t="shared" si="167"/>
        <v>2894.6626850656671</v>
      </c>
      <c r="Y191" s="214">
        <f t="shared" si="168"/>
        <v>0</v>
      </c>
      <c r="Z191" s="164">
        <f t="shared" si="169"/>
        <v>0</v>
      </c>
      <c r="AA191" s="165">
        <f t="shared" si="170"/>
        <v>2894.6626850656671</v>
      </c>
      <c r="AB191" s="214">
        <f t="shared" si="171"/>
        <v>0</v>
      </c>
      <c r="AC191" s="164">
        <f t="shared" si="172"/>
        <v>0</v>
      </c>
    </row>
    <row r="192" spans="1:29" x14ac:dyDescent="0.25">
      <c r="A192" s="213">
        <f t="shared" si="146"/>
        <v>0.4</v>
      </c>
      <c r="B192" s="214">
        <f t="shared" si="146"/>
        <v>9.3538315646224621</v>
      </c>
      <c r="C192" s="214">
        <f t="shared" si="146"/>
        <v>5050.9078321204297</v>
      </c>
      <c r="D192" s="214">
        <f t="shared" si="147"/>
        <v>298.6490902239089</v>
      </c>
      <c r="E192" s="164">
        <f t="shared" si="148"/>
        <v>5349.556922344339</v>
      </c>
      <c r="F192" s="165">
        <f t="shared" si="149"/>
        <v>6512.9839562621219</v>
      </c>
      <c r="G192" s="214">
        <f t="shared" si="150"/>
        <v>15280.518117992808</v>
      </c>
      <c r="H192" s="164">
        <f t="shared" si="151"/>
        <v>2.3461624073710259</v>
      </c>
      <c r="I192" s="165">
        <f t="shared" si="152"/>
        <v>6157.4923625650217</v>
      </c>
      <c r="J192" s="214">
        <f t="shared" si="153"/>
        <v>12733.76509832734</v>
      </c>
      <c r="K192" s="164">
        <f t="shared" si="154"/>
        <v>2.0680115132165335</v>
      </c>
      <c r="L192" s="165">
        <f t="shared" si="155"/>
        <v>7417.8716493092861</v>
      </c>
      <c r="M192" s="214">
        <f t="shared" si="156"/>
        <v>20374.024157323744</v>
      </c>
      <c r="N192" s="164">
        <f t="shared" si="157"/>
        <v>2.7466131958782096</v>
      </c>
      <c r="O192" s="165">
        <f t="shared" si="158"/>
        <v>5349.556922344339</v>
      </c>
      <c r="P192" s="214">
        <f t="shared" si="159"/>
        <v>0</v>
      </c>
      <c r="Q192" s="164">
        <f t="shared" si="160"/>
        <v>0</v>
      </c>
      <c r="R192" s="165">
        <f t="shared" si="161"/>
        <v>5349.556922344339</v>
      </c>
      <c r="S192" s="214">
        <f t="shared" si="162"/>
        <v>0</v>
      </c>
      <c r="T192" s="164">
        <f t="shared" si="163"/>
        <v>0</v>
      </c>
      <c r="U192" s="165">
        <f t="shared" si="164"/>
        <v>5349.556922344339</v>
      </c>
      <c r="V192" s="214">
        <f t="shared" si="165"/>
        <v>0</v>
      </c>
      <c r="W192" s="164">
        <f t="shared" si="166"/>
        <v>0</v>
      </c>
      <c r="X192" s="165">
        <f t="shared" si="167"/>
        <v>5349.556922344339</v>
      </c>
      <c r="Y192" s="214">
        <f t="shared" si="168"/>
        <v>0</v>
      </c>
      <c r="Z192" s="164">
        <f t="shared" si="169"/>
        <v>0</v>
      </c>
      <c r="AA192" s="165">
        <f t="shared" si="170"/>
        <v>5349.556922344339</v>
      </c>
      <c r="AB192" s="214">
        <f t="shared" si="171"/>
        <v>0</v>
      </c>
      <c r="AC192" s="164">
        <f t="shared" si="172"/>
        <v>0</v>
      </c>
    </row>
    <row r="193" spans="1:29" x14ac:dyDescent="0.25">
      <c r="A193" s="213">
        <f t="shared" si="146"/>
        <v>0.45</v>
      </c>
      <c r="B193" s="214">
        <f t="shared" si="146"/>
        <v>10.523060510200271</v>
      </c>
      <c r="C193" s="214">
        <f t="shared" si="146"/>
        <v>8559.0402301463437</v>
      </c>
      <c r="D193" s="214">
        <f t="shared" si="147"/>
        <v>478.37809593727206</v>
      </c>
      <c r="E193" s="164">
        <f t="shared" si="148"/>
        <v>9037.4183260836162</v>
      </c>
      <c r="F193" s="165">
        <f t="shared" si="149"/>
        <v>10509.88066588581</v>
      </c>
      <c r="G193" s="214">
        <f t="shared" si="150"/>
        <v>19339.405743084651</v>
      </c>
      <c r="H193" s="164">
        <f t="shared" si="151"/>
        <v>1.8401165872281251</v>
      </c>
      <c r="I193" s="165">
        <f t="shared" si="152"/>
        <v>10059.961617612918</v>
      </c>
      <c r="J193" s="214">
        <f t="shared" si="153"/>
        <v>16116.171452570541</v>
      </c>
      <c r="K193" s="164">
        <f t="shared" si="154"/>
        <v>1.6020112267977691</v>
      </c>
      <c r="L193" s="165">
        <f t="shared" si="155"/>
        <v>11655.129152398627</v>
      </c>
      <c r="M193" s="214">
        <f t="shared" si="156"/>
        <v>25785.874324112865</v>
      </c>
      <c r="N193" s="164">
        <f t="shared" si="157"/>
        <v>2.2124057131367034</v>
      </c>
      <c r="O193" s="165">
        <f t="shared" si="158"/>
        <v>9037.4183260836162</v>
      </c>
      <c r="P193" s="214">
        <f t="shared" si="159"/>
        <v>0</v>
      </c>
      <c r="Q193" s="164">
        <f t="shared" si="160"/>
        <v>0</v>
      </c>
      <c r="R193" s="165">
        <f t="shared" si="161"/>
        <v>9037.4183260836162</v>
      </c>
      <c r="S193" s="214">
        <f t="shared" si="162"/>
        <v>0</v>
      </c>
      <c r="T193" s="164">
        <f t="shared" si="163"/>
        <v>0</v>
      </c>
      <c r="U193" s="165">
        <f t="shared" si="164"/>
        <v>9037.4183260836162</v>
      </c>
      <c r="V193" s="214">
        <f t="shared" si="165"/>
        <v>0</v>
      </c>
      <c r="W193" s="164">
        <f t="shared" si="166"/>
        <v>0</v>
      </c>
      <c r="X193" s="165">
        <f t="shared" si="167"/>
        <v>9037.4183260836162</v>
      </c>
      <c r="Y193" s="214">
        <f t="shared" si="168"/>
        <v>0</v>
      </c>
      <c r="Z193" s="164">
        <f t="shared" si="169"/>
        <v>0</v>
      </c>
      <c r="AA193" s="165">
        <f t="shared" si="170"/>
        <v>9037.4183260836162</v>
      </c>
      <c r="AB193" s="214">
        <f t="shared" si="171"/>
        <v>0</v>
      </c>
      <c r="AC193" s="164">
        <f t="shared" si="172"/>
        <v>0</v>
      </c>
    </row>
    <row r="194" spans="1:29" x14ac:dyDescent="0.25">
      <c r="A194" s="213">
        <f t="shared" si="146"/>
        <v>0.5</v>
      </c>
      <c r="B194" s="214">
        <f t="shared" si="146"/>
        <v>11.692289455778077</v>
      </c>
      <c r="C194" s="214">
        <f t="shared" si="146"/>
        <v>12988.012324953252</v>
      </c>
      <c r="D194" s="214">
        <f t="shared" si="147"/>
        <v>729.12375542946506</v>
      </c>
      <c r="E194" s="164">
        <f t="shared" si="148"/>
        <v>13717.136080382717</v>
      </c>
      <c r="F194" s="165">
        <f t="shared" si="149"/>
        <v>15534.990820879253</v>
      </c>
      <c r="G194" s="214">
        <f t="shared" si="150"/>
        <v>23875.809559363763</v>
      </c>
      <c r="H194" s="164">
        <f t="shared" si="151"/>
        <v>1.5369052891408426</v>
      </c>
      <c r="I194" s="165">
        <f t="shared" si="152"/>
        <v>14979.535205727534</v>
      </c>
      <c r="J194" s="214">
        <f t="shared" si="153"/>
        <v>19896.507966136469</v>
      </c>
      <c r="K194" s="164">
        <f t="shared" si="154"/>
        <v>1.3282460165071674</v>
      </c>
      <c r="L194" s="165">
        <f t="shared" si="155"/>
        <v>16948.877841265446</v>
      </c>
      <c r="M194" s="214">
        <f t="shared" si="156"/>
        <v>31834.41274581835</v>
      </c>
      <c r="N194" s="164">
        <f t="shared" si="157"/>
        <v>1.8782607936621669</v>
      </c>
      <c r="O194" s="165">
        <f t="shared" si="158"/>
        <v>13717.136080382717</v>
      </c>
      <c r="P194" s="214">
        <f t="shared" si="159"/>
        <v>0</v>
      </c>
      <c r="Q194" s="164">
        <f t="shared" si="160"/>
        <v>0</v>
      </c>
      <c r="R194" s="165">
        <f t="shared" si="161"/>
        <v>13717.136080382717</v>
      </c>
      <c r="S194" s="214">
        <f t="shared" si="162"/>
        <v>0</v>
      </c>
      <c r="T194" s="164">
        <f t="shared" si="163"/>
        <v>0</v>
      </c>
      <c r="U194" s="165">
        <f t="shared" si="164"/>
        <v>13717.136080382717</v>
      </c>
      <c r="V194" s="214">
        <f t="shared" si="165"/>
        <v>0</v>
      </c>
      <c r="W194" s="164">
        <f t="shared" si="166"/>
        <v>0</v>
      </c>
      <c r="X194" s="165">
        <f t="shared" si="167"/>
        <v>13717.136080382717</v>
      </c>
      <c r="Y194" s="214">
        <f t="shared" si="168"/>
        <v>0</v>
      </c>
      <c r="Z194" s="164">
        <f t="shared" si="169"/>
        <v>0</v>
      </c>
      <c r="AA194" s="165">
        <f t="shared" si="170"/>
        <v>13717.136080382717</v>
      </c>
      <c r="AB194" s="214">
        <f t="shared" si="171"/>
        <v>0</v>
      </c>
      <c r="AC194" s="164">
        <f t="shared" si="172"/>
        <v>0</v>
      </c>
    </row>
    <row r="195" spans="1:29" x14ac:dyDescent="0.25">
      <c r="A195" s="165">
        <f t="shared" si="146"/>
        <v>0.55000000000000004</v>
      </c>
      <c r="B195" s="155">
        <f t="shared" si="146"/>
        <v>12.861518401355886</v>
      </c>
      <c r="C195" s="155">
        <f t="shared" si="146"/>
        <v>15974.716493222872</v>
      </c>
      <c r="D195" s="155">
        <f t="shared" si="147"/>
        <v>1067.5100903242799</v>
      </c>
      <c r="E195" s="164">
        <f t="shared" si="148"/>
        <v>17042.226583547152</v>
      </c>
      <c r="F195" s="165">
        <f t="shared" si="149"/>
        <v>19241.830819547962</v>
      </c>
      <c r="G195" s="155">
        <f t="shared" si="150"/>
        <v>28889.729566830156</v>
      </c>
      <c r="H195" s="164">
        <f t="shared" si="151"/>
        <v>1.5014023269283088</v>
      </c>
      <c r="I195" s="165">
        <f t="shared" si="152"/>
        <v>18569.729525214381</v>
      </c>
      <c r="J195" s="155">
        <f t="shared" si="153"/>
        <v>24074.77463902513</v>
      </c>
      <c r="K195" s="164">
        <f t="shared" si="154"/>
        <v>1.2964526277206074</v>
      </c>
      <c r="L195" s="165">
        <f t="shared" si="155"/>
        <v>20952.634114215256</v>
      </c>
      <c r="M195" s="155">
        <f t="shared" si="156"/>
        <v>38519.639422440203</v>
      </c>
      <c r="N195" s="164">
        <f t="shared" si="157"/>
        <v>1.8384151230086465</v>
      </c>
      <c r="O195" s="165">
        <f t="shared" si="158"/>
        <v>17042.226583547152</v>
      </c>
      <c r="P195" s="155">
        <f t="shared" si="159"/>
        <v>0</v>
      </c>
      <c r="Q195" s="164">
        <f t="shared" si="160"/>
        <v>0</v>
      </c>
      <c r="R195" s="165">
        <f t="shared" si="161"/>
        <v>17042.226583547152</v>
      </c>
      <c r="S195" s="155">
        <f t="shared" si="162"/>
        <v>0</v>
      </c>
      <c r="T195" s="164">
        <f t="shared" si="163"/>
        <v>0</v>
      </c>
      <c r="U195" s="165">
        <f t="shared" si="164"/>
        <v>17042.226583547152</v>
      </c>
      <c r="V195" s="155">
        <f t="shared" si="165"/>
        <v>0</v>
      </c>
      <c r="W195" s="164">
        <f t="shared" si="166"/>
        <v>0</v>
      </c>
      <c r="X195" s="165">
        <f t="shared" si="167"/>
        <v>17042.226583547152</v>
      </c>
      <c r="Y195" s="155">
        <f t="shared" si="168"/>
        <v>0</v>
      </c>
      <c r="Z195" s="164">
        <f t="shared" si="169"/>
        <v>0</v>
      </c>
      <c r="AA195" s="165">
        <f t="shared" si="170"/>
        <v>17042.226583547152</v>
      </c>
      <c r="AB195" s="155">
        <f t="shared" si="171"/>
        <v>0</v>
      </c>
      <c r="AC195" s="164">
        <f t="shared" si="172"/>
        <v>0</v>
      </c>
    </row>
    <row r="196" spans="1:29" ht="13.8" thickBot="1" x14ac:dyDescent="0.3">
      <c r="A196" s="215">
        <f t="shared" si="146"/>
        <v>0.6</v>
      </c>
      <c r="B196" s="157">
        <f t="shared" si="146"/>
        <v>14.030747346933692</v>
      </c>
      <c r="C196" s="157">
        <f t="shared" si="146"/>
        <v>18262.360611048694</v>
      </c>
      <c r="D196" s="157">
        <f t="shared" si="147"/>
        <v>1511.9110192585383</v>
      </c>
      <c r="E196" s="205">
        <f t="shared" si="148"/>
        <v>19774.271630307234</v>
      </c>
      <c r="F196" s="215">
        <f t="shared" si="149"/>
        <v>22391.982456622245</v>
      </c>
      <c r="G196" s="157">
        <f t="shared" si="150"/>
        <v>34381.16576548382</v>
      </c>
      <c r="H196" s="205">
        <f t="shared" si="151"/>
        <v>1.5354230395672659</v>
      </c>
      <c r="I196" s="215">
        <f t="shared" si="152"/>
        <v>21592.12637080377</v>
      </c>
      <c r="J196" s="157">
        <f t="shared" si="153"/>
        <v>28650.971471236513</v>
      </c>
      <c r="K196" s="205">
        <f t="shared" si="154"/>
        <v>1.3269175522229948</v>
      </c>
      <c r="L196" s="215">
        <f t="shared" si="155"/>
        <v>24427.979765978365</v>
      </c>
      <c r="M196" s="157">
        <f t="shared" si="156"/>
        <v>45841.554353978419</v>
      </c>
      <c r="N196" s="205">
        <f t="shared" si="157"/>
        <v>1.8766003080542677</v>
      </c>
      <c r="O196" s="215">
        <f t="shared" si="158"/>
        <v>19774.271630307234</v>
      </c>
      <c r="P196" s="157">
        <f t="shared" si="159"/>
        <v>0</v>
      </c>
      <c r="Q196" s="205">
        <f t="shared" si="160"/>
        <v>0</v>
      </c>
      <c r="R196" s="215">
        <f t="shared" si="161"/>
        <v>19774.271630307234</v>
      </c>
      <c r="S196" s="157">
        <f t="shared" si="162"/>
        <v>0</v>
      </c>
      <c r="T196" s="205">
        <f t="shared" si="163"/>
        <v>0</v>
      </c>
      <c r="U196" s="215">
        <f t="shared" si="164"/>
        <v>19774.271630307234</v>
      </c>
      <c r="V196" s="157">
        <f t="shared" si="165"/>
        <v>0</v>
      </c>
      <c r="W196" s="205">
        <f t="shared" si="166"/>
        <v>0</v>
      </c>
      <c r="X196" s="215">
        <f t="shared" si="167"/>
        <v>19774.271630307234</v>
      </c>
      <c r="Y196" s="157">
        <f t="shared" si="168"/>
        <v>0</v>
      </c>
      <c r="Z196" s="205">
        <f t="shared" si="169"/>
        <v>0</v>
      </c>
      <c r="AA196" s="215">
        <f t="shared" si="170"/>
        <v>19774.271630307234</v>
      </c>
      <c r="AB196" s="157">
        <f t="shared" si="171"/>
        <v>0</v>
      </c>
      <c r="AC196" s="205">
        <f t="shared" si="172"/>
        <v>0</v>
      </c>
    </row>
    <row r="197" spans="1:29" x14ac:dyDescent="0.25">
      <c r="A197" s="138"/>
      <c r="B197" s="138"/>
      <c r="C197" s="138"/>
      <c r="D197" s="138"/>
      <c r="E197" s="138"/>
      <c r="F197" s="138"/>
    </row>
    <row r="198" spans="1:29" ht="13.8" thickBot="1" x14ac:dyDescent="0.3">
      <c r="A198" s="138"/>
      <c r="B198" s="138"/>
      <c r="C198" s="138"/>
      <c r="D198" s="138"/>
      <c r="E198" s="138"/>
      <c r="F198" s="138"/>
    </row>
    <row r="199" spans="1:29" ht="27.75" customHeight="1" thickBot="1" x14ac:dyDescent="0.3">
      <c r="A199" s="268" t="s">
        <v>300</v>
      </c>
      <c r="B199" s="269"/>
      <c r="C199" s="270" t="s">
        <v>301</v>
      </c>
      <c r="D199" s="271"/>
      <c r="E199" s="272"/>
      <c r="F199" s="260" t="s">
        <v>286</v>
      </c>
      <c r="G199" s="672" t="s">
        <v>295</v>
      </c>
      <c r="H199" s="673">
        <f>H184</f>
        <v>3</v>
      </c>
      <c r="I199" s="263" t="s">
        <v>288</v>
      </c>
      <c r="J199" s="674" t="s">
        <v>295</v>
      </c>
      <c r="K199" s="675">
        <f>K184</f>
        <v>2.5</v>
      </c>
      <c r="L199" s="260" t="s">
        <v>289</v>
      </c>
      <c r="M199" s="672" t="s">
        <v>295</v>
      </c>
      <c r="N199" s="673">
        <f>N184</f>
        <v>4</v>
      </c>
      <c r="O199" s="263" t="s">
        <v>290</v>
      </c>
      <c r="P199" s="674" t="s">
        <v>295</v>
      </c>
      <c r="Q199" s="675">
        <f>Q184</f>
        <v>0</v>
      </c>
      <c r="R199" s="260" t="s">
        <v>291</v>
      </c>
      <c r="S199" s="672" t="s">
        <v>296</v>
      </c>
      <c r="T199" s="673">
        <f>T184</f>
        <v>0</v>
      </c>
      <c r="U199" s="264" t="s">
        <v>292</v>
      </c>
      <c r="V199" s="676" t="s">
        <v>295</v>
      </c>
      <c r="W199" s="675">
        <f>W184</f>
        <v>0</v>
      </c>
      <c r="X199" s="260" t="s">
        <v>293</v>
      </c>
      <c r="Y199" s="672" t="s">
        <v>295</v>
      </c>
      <c r="Z199" s="673">
        <f>Z184</f>
        <v>0</v>
      </c>
      <c r="AA199" s="264" t="s">
        <v>294</v>
      </c>
      <c r="AB199" s="676" t="s">
        <v>296</v>
      </c>
      <c r="AC199" s="675">
        <f>AC184</f>
        <v>0</v>
      </c>
    </row>
    <row r="200" spans="1:29" ht="13.8" thickBot="1" x14ac:dyDescent="0.3">
      <c r="A200" s="149" t="str">
        <f>A185</f>
        <v>Froude No</v>
      </c>
      <c r="B200" s="211" t="str">
        <f>B185</f>
        <v>Boat Speed  KTS</v>
      </c>
      <c r="C200" s="150" t="str">
        <f>C185</f>
        <v>Rupright</v>
      </c>
      <c r="D200" s="150" t="str">
        <f>D185</f>
        <v>R Heel</v>
      </c>
      <c r="E200" s="212" t="str">
        <f>E185</f>
        <v>Rup+ Rheel</v>
      </c>
      <c r="F200" s="149" t="s">
        <v>287</v>
      </c>
      <c r="G200" s="150" t="s">
        <v>238</v>
      </c>
      <c r="H200" s="212" t="s">
        <v>239</v>
      </c>
      <c r="I200" s="149" t="s">
        <v>287</v>
      </c>
      <c r="J200" s="150" t="s">
        <v>238</v>
      </c>
      <c r="K200" s="212" t="s">
        <v>239</v>
      </c>
      <c r="L200" s="149" t="s">
        <v>287</v>
      </c>
      <c r="M200" s="150" t="s">
        <v>238</v>
      </c>
      <c r="N200" s="212" t="s">
        <v>239</v>
      </c>
      <c r="O200" s="149" t="s">
        <v>287</v>
      </c>
      <c r="P200" s="150" t="s">
        <v>238</v>
      </c>
      <c r="Q200" s="212" t="s">
        <v>239</v>
      </c>
      <c r="R200" s="149" t="s">
        <v>287</v>
      </c>
      <c r="S200" s="150" t="s">
        <v>238</v>
      </c>
      <c r="T200" s="212" t="s">
        <v>239</v>
      </c>
      <c r="U200" s="149" t="s">
        <v>287</v>
      </c>
      <c r="V200" s="150" t="s">
        <v>238</v>
      </c>
      <c r="W200" s="212" t="s">
        <v>239</v>
      </c>
      <c r="X200" s="149" t="s">
        <v>287</v>
      </c>
      <c r="Y200" s="150" t="s">
        <v>238</v>
      </c>
      <c r="Z200" s="212" t="s">
        <v>239</v>
      </c>
      <c r="AA200" s="149" t="s">
        <v>287</v>
      </c>
      <c r="AB200" s="150" t="s">
        <v>238</v>
      </c>
      <c r="AC200" s="212" t="s">
        <v>239</v>
      </c>
    </row>
    <row r="201" spans="1:29" x14ac:dyDescent="0.25">
      <c r="A201" s="163">
        <f t="shared" ref="A201:C211" si="173">A186</f>
        <v>0.1</v>
      </c>
      <c r="B201" s="153">
        <f t="shared" si="173"/>
        <v>2.3384578911556155</v>
      </c>
      <c r="C201" s="153">
        <f t="shared" si="173"/>
        <v>144.89634523499709</v>
      </c>
      <c r="D201" s="153">
        <f t="shared" ref="D201:D211" si="174">E68</f>
        <v>2.3331960173742883</v>
      </c>
      <c r="E201" s="164">
        <f t="shared" ref="E201:E211" si="175">SUM(C201:D201)</f>
        <v>147.22954125237138</v>
      </c>
      <c r="F201" s="677">
        <f t="shared" ref="F201:F211" si="176">E201+E122</f>
        <v>198.51822457444138</v>
      </c>
      <c r="G201" s="261">
        <f t="shared" ref="G201:G211" si="177">E108</f>
        <v>768.59305036356523</v>
      </c>
      <c r="H201" s="262">
        <f t="shared" ref="H201:H211" si="178">G201/F201</f>
        <v>3.8716498296878243</v>
      </c>
      <c r="I201" s="677">
        <f t="shared" ref="I201:I211" si="179">E201+L122</f>
        <v>182.84668244825332</v>
      </c>
      <c r="J201" s="261">
        <f t="shared" ref="J201:J211" si="180">L108</f>
        <v>640.49420863630439</v>
      </c>
      <c r="K201" s="262">
        <f t="shared" ref="K201:K211" si="181">J201/I201</f>
        <v>3.5029030883159065</v>
      </c>
      <c r="L201" s="677">
        <f t="shared" ref="L201:L211" si="182">E201+S122</f>
        <v>238.40942271382917</v>
      </c>
      <c r="M201" s="261">
        <f t="shared" ref="M201:M211" si="183">S108</f>
        <v>1024.7907338180871</v>
      </c>
      <c r="N201" s="262">
        <f t="shared" ref="N201:N211" si="184">M201/L201</f>
        <v>4.2984489545456341</v>
      </c>
      <c r="O201" s="677">
        <f t="shared" ref="O201:O210" si="185">E201+Z122</f>
        <v>147.22954125237138</v>
      </c>
      <c r="P201" s="261">
        <f t="shared" ref="P201:P211" si="186">Z108</f>
        <v>0</v>
      </c>
      <c r="Q201" s="262">
        <f t="shared" ref="Q201:Q211" si="187">P201/O201</f>
        <v>0</v>
      </c>
      <c r="R201" s="677">
        <f t="shared" ref="R201:R211" si="188">E201+E154</f>
        <v>147.22954125237138</v>
      </c>
      <c r="S201" s="261">
        <f t="shared" ref="S201:S211" si="189">E140</f>
        <v>0</v>
      </c>
      <c r="T201" s="262">
        <f t="shared" ref="T201:T211" si="190">S201/R201</f>
        <v>0</v>
      </c>
      <c r="U201" s="677">
        <f t="shared" ref="U201:U211" si="191">E201+L154</f>
        <v>147.22954125237138</v>
      </c>
      <c r="V201" s="261">
        <f t="shared" ref="V201:V211" si="192">L140</f>
        <v>0</v>
      </c>
      <c r="W201" s="262">
        <f t="shared" ref="W201:W211" si="193">V201/U201</f>
        <v>0</v>
      </c>
      <c r="X201" s="677">
        <f t="shared" ref="X201:X211" si="194">E201+S154</f>
        <v>147.22954125237138</v>
      </c>
      <c r="Y201" s="261">
        <f t="shared" ref="Y201:Y211" si="195">S140</f>
        <v>0</v>
      </c>
      <c r="Z201" s="262">
        <f t="shared" ref="Z201:Z211" si="196">Y201/X201</f>
        <v>0</v>
      </c>
      <c r="AA201" s="677">
        <f t="shared" ref="AA201:AA211" si="197">E201+Z154</f>
        <v>147.22954125237138</v>
      </c>
      <c r="AB201" s="261">
        <f t="shared" ref="AB201:AB211" si="198">Z140</f>
        <v>0</v>
      </c>
      <c r="AC201" s="262">
        <f t="shared" ref="AC201:AC211" si="199">AB201/AA201</f>
        <v>0</v>
      </c>
    </row>
    <row r="202" spans="1:29" x14ac:dyDescent="0.25">
      <c r="A202" s="165">
        <f t="shared" si="173"/>
        <v>0.15</v>
      </c>
      <c r="B202" s="155">
        <f t="shared" si="173"/>
        <v>3.5076868367334231</v>
      </c>
      <c r="C202" s="155">
        <f t="shared" si="173"/>
        <v>345.84494271231762</v>
      </c>
      <c r="D202" s="155">
        <f t="shared" si="174"/>
        <v>11.811804837957331</v>
      </c>
      <c r="E202" s="164">
        <f t="shared" si="175"/>
        <v>357.65674755027493</v>
      </c>
      <c r="F202" s="165">
        <f t="shared" si="176"/>
        <v>473.05628502493244</v>
      </c>
      <c r="G202" s="155">
        <f t="shared" si="177"/>
        <v>1729.3343633180218</v>
      </c>
      <c r="H202" s="164">
        <f t="shared" si="178"/>
        <v>3.6556630110661721</v>
      </c>
      <c r="I202" s="165">
        <f t="shared" si="179"/>
        <v>437.79531524100929</v>
      </c>
      <c r="J202" s="155">
        <f t="shared" si="180"/>
        <v>1441.1119694316847</v>
      </c>
      <c r="K202" s="164">
        <f t="shared" si="181"/>
        <v>3.2917482651415373</v>
      </c>
      <c r="L202" s="165">
        <f t="shared" si="182"/>
        <v>562.81148083855498</v>
      </c>
      <c r="M202" s="155">
        <f t="shared" si="183"/>
        <v>2305.7791510906959</v>
      </c>
      <c r="N202" s="164">
        <f t="shared" si="184"/>
        <v>4.0968943058077363</v>
      </c>
      <c r="O202" s="165">
        <f t="shared" si="185"/>
        <v>357.65674755027493</v>
      </c>
      <c r="P202" s="155">
        <f t="shared" si="186"/>
        <v>0</v>
      </c>
      <c r="Q202" s="164">
        <f t="shared" si="187"/>
        <v>0</v>
      </c>
      <c r="R202" s="165">
        <f t="shared" si="188"/>
        <v>357.65674755027493</v>
      </c>
      <c r="S202" s="155">
        <f t="shared" si="189"/>
        <v>0</v>
      </c>
      <c r="T202" s="164">
        <f t="shared" si="190"/>
        <v>0</v>
      </c>
      <c r="U202" s="165">
        <f t="shared" si="191"/>
        <v>357.65674755027493</v>
      </c>
      <c r="V202" s="155">
        <f t="shared" si="192"/>
        <v>0</v>
      </c>
      <c r="W202" s="164">
        <f t="shared" si="193"/>
        <v>0</v>
      </c>
      <c r="X202" s="165">
        <f t="shared" si="194"/>
        <v>357.65674755027493</v>
      </c>
      <c r="Y202" s="155">
        <f t="shared" si="195"/>
        <v>0</v>
      </c>
      <c r="Z202" s="164">
        <f t="shared" si="196"/>
        <v>0</v>
      </c>
      <c r="AA202" s="165">
        <f t="shared" si="197"/>
        <v>357.65674755027493</v>
      </c>
      <c r="AB202" s="155">
        <f t="shared" si="198"/>
        <v>0</v>
      </c>
      <c r="AC202" s="164">
        <f t="shared" si="199"/>
        <v>0</v>
      </c>
    </row>
    <row r="203" spans="1:29" x14ac:dyDescent="0.25">
      <c r="A203" s="165">
        <f t="shared" si="173"/>
        <v>0.2</v>
      </c>
      <c r="B203" s="155">
        <f t="shared" si="173"/>
        <v>4.6769157823112311</v>
      </c>
      <c r="C203" s="155">
        <f t="shared" si="173"/>
        <v>658.22482599071009</v>
      </c>
      <c r="D203" s="155">
        <f t="shared" si="174"/>
        <v>37.331136277988612</v>
      </c>
      <c r="E203" s="164">
        <f t="shared" si="175"/>
        <v>695.55596226869875</v>
      </c>
      <c r="F203" s="165">
        <f t="shared" si="176"/>
        <v>900.71069555697875</v>
      </c>
      <c r="G203" s="155">
        <f t="shared" si="177"/>
        <v>3074.3722014542609</v>
      </c>
      <c r="H203" s="164">
        <f t="shared" si="178"/>
        <v>3.4132737810481308</v>
      </c>
      <c r="I203" s="165">
        <f t="shared" si="179"/>
        <v>838.02452705222652</v>
      </c>
      <c r="J203" s="155">
        <f t="shared" si="180"/>
        <v>2561.9768345452176</v>
      </c>
      <c r="K203" s="164">
        <f t="shared" si="181"/>
        <v>3.0571621138071445</v>
      </c>
      <c r="L203" s="165">
        <f t="shared" si="182"/>
        <v>1060.2754881145299</v>
      </c>
      <c r="M203" s="155">
        <f t="shared" si="183"/>
        <v>4099.1629352723485</v>
      </c>
      <c r="N203" s="164">
        <f t="shared" si="184"/>
        <v>3.8661300588602883</v>
      </c>
      <c r="O203" s="165">
        <f t="shared" si="185"/>
        <v>695.55596226869875</v>
      </c>
      <c r="P203" s="155">
        <f t="shared" si="186"/>
        <v>0</v>
      </c>
      <c r="Q203" s="164">
        <f t="shared" si="187"/>
        <v>0</v>
      </c>
      <c r="R203" s="165">
        <f t="shared" si="188"/>
        <v>695.55596226869875</v>
      </c>
      <c r="S203" s="155">
        <f t="shared" si="189"/>
        <v>0</v>
      </c>
      <c r="T203" s="164">
        <f t="shared" si="190"/>
        <v>0</v>
      </c>
      <c r="U203" s="165">
        <f t="shared" si="191"/>
        <v>695.55596226869875</v>
      </c>
      <c r="V203" s="155">
        <f t="shared" si="192"/>
        <v>0</v>
      </c>
      <c r="W203" s="164">
        <f t="shared" si="193"/>
        <v>0</v>
      </c>
      <c r="X203" s="165">
        <f t="shared" si="194"/>
        <v>695.55596226869875</v>
      </c>
      <c r="Y203" s="155">
        <f t="shared" si="195"/>
        <v>0</v>
      </c>
      <c r="Z203" s="164">
        <f t="shared" si="196"/>
        <v>0</v>
      </c>
      <c r="AA203" s="165">
        <f t="shared" si="197"/>
        <v>695.55596226869875</v>
      </c>
      <c r="AB203" s="155">
        <f t="shared" si="198"/>
        <v>0</v>
      </c>
      <c r="AC203" s="164">
        <f t="shared" si="199"/>
        <v>0</v>
      </c>
    </row>
    <row r="204" spans="1:29" x14ac:dyDescent="0.25">
      <c r="A204" s="165">
        <f t="shared" si="173"/>
        <v>0.25</v>
      </c>
      <c r="B204" s="155">
        <f t="shared" si="173"/>
        <v>5.8461447278890386</v>
      </c>
      <c r="C204" s="155">
        <f t="shared" si="173"/>
        <v>1123.3426992152276</v>
      </c>
      <c r="D204" s="155">
        <f t="shared" si="174"/>
        <v>91.140469428683133</v>
      </c>
      <c r="E204" s="164">
        <f t="shared" si="175"/>
        <v>1214.4831686439109</v>
      </c>
      <c r="F204" s="165">
        <f t="shared" si="176"/>
        <v>1535.0374394068483</v>
      </c>
      <c r="G204" s="155">
        <f t="shared" si="177"/>
        <v>4803.7065647722829</v>
      </c>
      <c r="H204" s="164">
        <f t="shared" si="178"/>
        <v>3.1293742038164729</v>
      </c>
      <c r="I204" s="165">
        <f t="shared" si="179"/>
        <v>1437.0903011181731</v>
      </c>
      <c r="J204" s="155">
        <f t="shared" si="180"/>
        <v>4003.088803976902</v>
      </c>
      <c r="K204" s="164">
        <f t="shared" si="181"/>
        <v>2.7855513330388311</v>
      </c>
      <c r="L204" s="165">
        <f t="shared" si="182"/>
        <v>1784.3574277780222</v>
      </c>
      <c r="M204" s="155">
        <f t="shared" si="183"/>
        <v>6404.9420863630439</v>
      </c>
      <c r="N204" s="164">
        <f t="shared" si="184"/>
        <v>3.5894950118479469</v>
      </c>
      <c r="O204" s="165">
        <f t="shared" si="185"/>
        <v>1214.4831686439109</v>
      </c>
      <c r="P204" s="155">
        <f t="shared" si="186"/>
        <v>0</v>
      </c>
      <c r="Q204" s="164">
        <f t="shared" si="187"/>
        <v>0</v>
      </c>
      <c r="R204" s="165">
        <f t="shared" si="188"/>
        <v>1214.4831686439109</v>
      </c>
      <c r="S204" s="155">
        <f t="shared" si="189"/>
        <v>0</v>
      </c>
      <c r="T204" s="164">
        <f t="shared" si="190"/>
        <v>0</v>
      </c>
      <c r="U204" s="165">
        <f t="shared" si="191"/>
        <v>1214.4831686439109</v>
      </c>
      <c r="V204" s="155">
        <f t="shared" si="192"/>
        <v>0</v>
      </c>
      <c r="W204" s="164">
        <f t="shared" si="193"/>
        <v>0</v>
      </c>
      <c r="X204" s="165">
        <f t="shared" si="194"/>
        <v>1214.4831686439109</v>
      </c>
      <c r="Y204" s="155">
        <f t="shared" si="195"/>
        <v>0</v>
      </c>
      <c r="Z204" s="164">
        <f t="shared" si="196"/>
        <v>0</v>
      </c>
      <c r="AA204" s="165">
        <f t="shared" si="197"/>
        <v>1214.4831686439109</v>
      </c>
      <c r="AB204" s="155">
        <f t="shared" si="198"/>
        <v>0</v>
      </c>
      <c r="AC204" s="164">
        <f t="shared" si="199"/>
        <v>0</v>
      </c>
    </row>
    <row r="205" spans="1:29" x14ac:dyDescent="0.25">
      <c r="A205" s="213">
        <f t="shared" si="173"/>
        <v>0.3</v>
      </c>
      <c r="B205" s="214">
        <f t="shared" si="173"/>
        <v>7.0153736734668461</v>
      </c>
      <c r="C205" s="214">
        <f t="shared" si="173"/>
        <v>1698.4349628844636</v>
      </c>
      <c r="D205" s="214">
        <f t="shared" si="174"/>
        <v>188.98887740731729</v>
      </c>
      <c r="E205" s="164">
        <f t="shared" si="175"/>
        <v>1887.4238402917808</v>
      </c>
      <c r="F205" s="165">
        <f t="shared" si="176"/>
        <v>2349.0219901904111</v>
      </c>
      <c r="G205" s="214">
        <f t="shared" si="177"/>
        <v>6917.3374532720873</v>
      </c>
      <c r="H205" s="164">
        <f t="shared" si="178"/>
        <v>2.9447733917175332</v>
      </c>
      <c r="I205" s="165">
        <f t="shared" si="179"/>
        <v>2207.9781110547183</v>
      </c>
      <c r="J205" s="214">
        <f t="shared" si="180"/>
        <v>5764.4478777267386</v>
      </c>
      <c r="K205" s="164">
        <f t="shared" si="181"/>
        <v>2.6107359710070441</v>
      </c>
      <c r="L205" s="165">
        <f t="shared" si="182"/>
        <v>2708.0427734449013</v>
      </c>
      <c r="M205" s="214">
        <f t="shared" si="183"/>
        <v>9223.1166043627836</v>
      </c>
      <c r="N205" s="164">
        <f t="shared" si="184"/>
        <v>3.4058238277492405</v>
      </c>
      <c r="O205" s="165">
        <f t="shared" si="185"/>
        <v>1887.4238402917808</v>
      </c>
      <c r="P205" s="214">
        <f t="shared" si="186"/>
        <v>0</v>
      </c>
      <c r="Q205" s="164">
        <f t="shared" si="187"/>
        <v>0</v>
      </c>
      <c r="R205" s="165">
        <f t="shared" si="188"/>
        <v>1887.4238402917808</v>
      </c>
      <c r="S205" s="214">
        <f t="shared" si="189"/>
        <v>0</v>
      </c>
      <c r="T205" s="164">
        <f t="shared" si="190"/>
        <v>0</v>
      </c>
      <c r="U205" s="165">
        <f t="shared" si="191"/>
        <v>1887.4238402917808</v>
      </c>
      <c r="V205" s="214">
        <f t="shared" si="192"/>
        <v>0</v>
      </c>
      <c r="W205" s="164">
        <f t="shared" si="193"/>
        <v>0</v>
      </c>
      <c r="X205" s="165">
        <f t="shared" si="194"/>
        <v>1887.4238402917808</v>
      </c>
      <c r="Y205" s="214">
        <f t="shared" si="195"/>
        <v>0</v>
      </c>
      <c r="Z205" s="164">
        <f t="shared" si="196"/>
        <v>0</v>
      </c>
      <c r="AA205" s="165">
        <f t="shared" si="197"/>
        <v>1887.4238402917808</v>
      </c>
      <c r="AB205" s="214">
        <f t="shared" si="198"/>
        <v>0</v>
      </c>
      <c r="AC205" s="164">
        <f t="shared" si="199"/>
        <v>0</v>
      </c>
    </row>
    <row r="206" spans="1:29" x14ac:dyDescent="0.25">
      <c r="A206" s="213">
        <f t="shared" si="173"/>
        <v>0.35</v>
      </c>
      <c r="B206" s="214">
        <f t="shared" si="173"/>
        <v>8.1846026190446537</v>
      </c>
      <c r="C206" s="214">
        <f t="shared" si="173"/>
        <v>2719.6000713870526</v>
      </c>
      <c r="D206" s="214">
        <f t="shared" si="174"/>
        <v>350.12522735722894</v>
      </c>
      <c r="E206" s="164">
        <f t="shared" si="175"/>
        <v>3069.7252987442816</v>
      </c>
      <c r="F206" s="165">
        <f t="shared" si="176"/>
        <v>3698.0116694396393</v>
      </c>
      <c r="G206" s="214">
        <f t="shared" si="177"/>
        <v>9415.2648669536738</v>
      </c>
      <c r="H206" s="164">
        <f t="shared" si="178"/>
        <v>2.5460343851160347</v>
      </c>
      <c r="I206" s="165">
        <f t="shared" si="179"/>
        <v>3506.0352783938351</v>
      </c>
      <c r="J206" s="214">
        <f t="shared" si="180"/>
        <v>7846.0540557947261</v>
      </c>
      <c r="K206" s="164">
        <f t="shared" si="181"/>
        <v>2.2378708235329325</v>
      </c>
      <c r="L206" s="165">
        <f t="shared" si="182"/>
        <v>4186.6788466471389</v>
      </c>
      <c r="M206" s="214">
        <f t="shared" si="183"/>
        <v>12553.686489271564</v>
      </c>
      <c r="N206" s="164">
        <f t="shared" si="184"/>
        <v>2.9984832725646156</v>
      </c>
      <c r="O206" s="165">
        <f t="shared" si="185"/>
        <v>3069.7252987442816</v>
      </c>
      <c r="P206" s="214">
        <f t="shared" si="186"/>
        <v>0</v>
      </c>
      <c r="Q206" s="164">
        <f t="shared" si="187"/>
        <v>0</v>
      </c>
      <c r="R206" s="165">
        <f t="shared" si="188"/>
        <v>3069.7252987442816</v>
      </c>
      <c r="S206" s="214">
        <f t="shared" si="189"/>
        <v>0</v>
      </c>
      <c r="T206" s="164">
        <f t="shared" si="190"/>
        <v>0</v>
      </c>
      <c r="U206" s="165">
        <f t="shared" si="191"/>
        <v>3069.7252987442816</v>
      </c>
      <c r="V206" s="214">
        <f t="shared" si="192"/>
        <v>0</v>
      </c>
      <c r="W206" s="164">
        <f t="shared" si="193"/>
        <v>0</v>
      </c>
      <c r="X206" s="165">
        <f t="shared" si="194"/>
        <v>3069.7252987442816</v>
      </c>
      <c r="Y206" s="214">
        <f t="shared" si="195"/>
        <v>0</v>
      </c>
      <c r="Z206" s="164">
        <f t="shared" si="196"/>
        <v>0</v>
      </c>
      <c r="AA206" s="165">
        <f t="shared" si="197"/>
        <v>3069.7252987442816</v>
      </c>
      <c r="AB206" s="214">
        <f t="shared" si="198"/>
        <v>0</v>
      </c>
      <c r="AC206" s="164">
        <f t="shared" si="199"/>
        <v>0</v>
      </c>
    </row>
    <row r="207" spans="1:29" x14ac:dyDescent="0.25">
      <c r="A207" s="213">
        <f t="shared" si="173"/>
        <v>0.4</v>
      </c>
      <c r="B207" s="214">
        <f t="shared" si="173"/>
        <v>9.3538315646224621</v>
      </c>
      <c r="C207" s="214">
        <f t="shared" si="173"/>
        <v>5050.9078321204297</v>
      </c>
      <c r="D207" s="214">
        <f t="shared" si="174"/>
        <v>597.2981804478178</v>
      </c>
      <c r="E207" s="164">
        <f t="shared" si="175"/>
        <v>5648.2060125682474</v>
      </c>
      <c r="F207" s="165">
        <f t="shared" si="176"/>
        <v>6468.8249457213669</v>
      </c>
      <c r="G207" s="214">
        <f t="shared" si="177"/>
        <v>12297.488805817044</v>
      </c>
      <c r="H207" s="164">
        <f t="shared" si="178"/>
        <v>1.9010390463496607</v>
      </c>
      <c r="I207" s="165">
        <f t="shared" si="179"/>
        <v>6218.080271702358</v>
      </c>
      <c r="J207" s="214">
        <f t="shared" si="180"/>
        <v>10247.90733818087</v>
      </c>
      <c r="K207" s="164">
        <f t="shared" si="181"/>
        <v>1.6480821878124845</v>
      </c>
      <c r="L207" s="165">
        <f t="shared" si="182"/>
        <v>7107.0841159515721</v>
      </c>
      <c r="M207" s="214">
        <f t="shared" si="183"/>
        <v>16396.651741089394</v>
      </c>
      <c r="N207" s="164">
        <f t="shared" si="184"/>
        <v>2.307085644911357</v>
      </c>
      <c r="O207" s="165">
        <f t="shared" si="185"/>
        <v>5648.2060125682474</v>
      </c>
      <c r="P207" s="214">
        <f t="shared" si="186"/>
        <v>0</v>
      </c>
      <c r="Q207" s="164">
        <f t="shared" si="187"/>
        <v>0</v>
      </c>
      <c r="R207" s="165">
        <f t="shared" si="188"/>
        <v>5648.2060125682474</v>
      </c>
      <c r="S207" s="214">
        <f t="shared" si="189"/>
        <v>0</v>
      </c>
      <c r="T207" s="164">
        <f t="shared" si="190"/>
        <v>0</v>
      </c>
      <c r="U207" s="165">
        <f t="shared" si="191"/>
        <v>5648.2060125682474</v>
      </c>
      <c r="V207" s="214">
        <f t="shared" si="192"/>
        <v>0</v>
      </c>
      <c r="W207" s="164">
        <f t="shared" si="193"/>
        <v>0</v>
      </c>
      <c r="X207" s="165">
        <f t="shared" si="194"/>
        <v>5648.2060125682474</v>
      </c>
      <c r="Y207" s="214">
        <f t="shared" si="195"/>
        <v>0</v>
      </c>
      <c r="Z207" s="164">
        <f t="shared" si="196"/>
        <v>0</v>
      </c>
      <c r="AA207" s="165">
        <f t="shared" si="197"/>
        <v>5648.2060125682474</v>
      </c>
      <c r="AB207" s="214">
        <f t="shared" si="198"/>
        <v>0</v>
      </c>
      <c r="AC207" s="164">
        <f t="shared" si="199"/>
        <v>0</v>
      </c>
    </row>
    <row r="208" spans="1:29" x14ac:dyDescent="0.25">
      <c r="A208" s="213">
        <f t="shared" si="173"/>
        <v>0.45</v>
      </c>
      <c r="B208" s="214">
        <f t="shared" si="173"/>
        <v>10.523060510200271</v>
      </c>
      <c r="C208" s="214">
        <f t="shared" si="173"/>
        <v>8559.0402301463437</v>
      </c>
      <c r="D208" s="214">
        <f t="shared" si="174"/>
        <v>956.75619187454413</v>
      </c>
      <c r="E208" s="164">
        <f t="shared" si="175"/>
        <v>9515.7964220208887</v>
      </c>
      <c r="F208" s="165">
        <f t="shared" si="176"/>
        <v>10554.392259292807</v>
      </c>
      <c r="G208" s="214">
        <f t="shared" si="177"/>
        <v>15564.009269862197</v>
      </c>
      <c r="H208" s="164">
        <f t="shared" si="178"/>
        <v>1.4746476052336015</v>
      </c>
      <c r="I208" s="165">
        <f t="shared" si="179"/>
        <v>10237.043531237498</v>
      </c>
      <c r="J208" s="214">
        <f t="shared" si="180"/>
        <v>12970.007724885165</v>
      </c>
      <c r="K208" s="164">
        <f t="shared" si="181"/>
        <v>1.2669681129427897</v>
      </c>
      <c r="L208" s="165">
        <f t="shared" si="182"/>
        <v>11362.18902161541</v>
      </c>
      <c r="M208" s="214">
        <f t="shared" si="183"/>
        <v>20752.012359816265</v>
      </c>
      <c r="N208" s="164">
        <f t="shared" si="184"/>
        <v>1.8264097103417019</v>
      </c>
      <c r="O208" s="165">
        <f t="shared" si="185"/>
        <v>9515.7964220208887</v>
      </c>
      <c r="P208" s="214">
        <f t="shared" si="186"/>
        <v>0</v>
      </c>
      <c r="Q208" s="164">
        <f t="shared" si="187"/>
        <v>0</v>
      </c>
      <c r="R208" s="165">
        <f t="shared" si="188"/>
        <v>9515.7964220208887</v>
      </c>
      <c r="S208" s="214">
        <f t="shared" si="189"/>
        <v>0</v>
      </c>
      <c r="T208" s="164">
        <f t="shared" si="190"/>
        <v>0</v>
      </c>
      <c r="U208" s="165">
        <f t="shared" si="191"/>
        <v>9515.7964220208887</v>
      </c>
      <c r="V208" s="214">
        <f t="shared" si="192"/>
        <v>0</v>
      </c>
      <c r="W208" s="164">
        <f t="shared" si="193"/>
        <v>0</v>
      </c>
      <c r="X208" s="165">
        <f t="shared" si="194"/>
        <v>9515.7964220208887</v>
      </c>
      <c r="Y208" s="214">
        <f t="shared" si="195"/>
        <v>0</v>
      </c>
      <c r="Z208" s="164">
        <f t="shared" si="196"/>
        <v>0</v>
      </c>
      <c r="AA208" s="165">
        <f t="shared" si="197"/>
        <v>9515.7964220208887</v>
      </c>
      <c r="AB208" s="214">
        <f t="shared" si="198"/>
        <v>0</v>
      </c>
      <c r="AC208" s="164">
        <f t="shared" si="199"/>
        <v>0</v>
      </c>
    </row>
    <row r="209" spans="1:29" x14ac:dyDescent="0.25">
      <c r="A209" s="213">
        <f t="shared" si="173"/>
        <v>0.5</v>
      </c>
      <c r="B209" s="214">
        <f t="shared" si="173"/>
        <v>11.692289455778077</v>
      </c>
      <c r="C209" s="214">
        <f t="shared" si="173"/>
        <v>12988.012324953252</v>
      </c>
      <c r="D209" s="214">
        <f t="shared" si="174"/>
        <v>1458.2475108589301</v>
      </c>
      <c r="E209" s="164">
        <f t="shared" si="175"/>
        <v>14446.259835812181</v>
      </c>
      <c r="F209" s="165">
        <f t="shared" si="176"/>
        <v>15728.476918863931</v>
      </c>
      <c r="G209" s="214">
        <f t="shared" si="177"/>
        <v>19214.826259089132</v>
      </c>
      <c r="H209" s="164">
        <f t="shared" si="178"/>
        <v>1.2216584198336364</v>
      </c>
      <c r="I209" s="165">
        <f t="shared" si="179"/>
        <v>15336.688365709229</v>
      </c>
      <c r="J209" s="214">
        <f t="shared" si="180"/>
        <v>16012.355215907608</v>
      </c>
      <c r="K209" s="164">
        <f t="shared" si="181"/>
        <v>1.0440555897131665</v>
      </c>
      <c r="L209" s="165">
        <f t="shared" si="182"/>
        <v>16725.756872348626</v>
      </c>
      <c r="M209" s="214">
        <f t="shared" si="183"/>
        <v>25619.768345452176</v>
      </c>
      <c r="N209" s="164">
        <f t="shared" si="184"/>
        <v>1.5317553962420269</v>
      </c>
      <c r="O209" s="165">
        <f t="shared" si="185"/>
        <v>14446.259835812181</v>
      </c>
      <c r="P209" s="214">
        <f t="shared" si="186"/>
        <v>0</v>
      </c>
      <c r="Q209" s="164">
        <f t="shared" si="187"/>
        <v>0</v>
      </c>
      <c r="R209" s="165">
        <f t="shared" si="188"/>
        <v>14446.259835812181</v>
      </c>
      <c r="S209" s="214">
        <f t="shared" si="189"/>
        <v>0</v>
      </c>
      <c r="T209" s="164">
        <f t="shared" si="190"/>
        <v>0</v>
      </c>
      <c r="U209" s="165">
        <f t="shared" si="191"/>
        <v>14446.259835812181</v>
      </c>
      <c r="V209" s="214">
        <f t="shared" si="192"/>
        <v>0</v>
      </c>
      <c r="W209" s="164">
        <f t="shared" si="193"/>
        <v>0</v>
      </c>
      <c r="X209" s="165">
        <f t="shared" si="194"/>
        <v>14446.259835812181</v>
      </c>
      <c r="Y209" s="214">
        <f t="shared" si="195"/>
        <v>0</v>
      </c>
      <c r="Z209" s="164">
        <f t="shared" si="196"/>
        <v>0</v>
      </c>
      <c r="AA209" s="165">
        <f t="shared" si="197"/>
        <v>14446.259835812181</v>
      </c>
      <c r="AB209" s="214">
        <f t="shared" si="198"/>
        <v>0</v>
      </c>
      <c r="AC209" s="164">
        <f t="shared" si="199"/>
        <v>0</v>
      </c>
    </row>
    <row r="210" spans="1:29" x14ac:dyDescent="0.25">
      <c r="A210" s="165">
        <f t="shared" si="173"/>
        <v>0.55000000000000004</v>
      </c>
      <c r="B210" s="155">
        <f t="shared" si="173"/>
        <v>12.861518401355886</v>
      </c>
      <c r="C210" s="155">
        <f t="shared" si="173"/>
        <v>15974.716493222872</v>
      </c>
      <c r="D210" s="155">
        <f t="shared" si="174"/>
        <v>2135.0201806485597</v>
      </c>
      <c r="E210" s="164">
        <f t="shared" si="175"/>
        <v>18109.73667387143</v>
      </c>
      <c r="F210" s="165">
        <f t="shared" si="176"/>
        <v>19661.21934436405</v>
      </c>
      <c r="G210" s="155">
        <f t="shared" si="177"/>
        <v>23249.939773497856</v>
      </c>
      <c r="H210" s="164">
        <f t="shared" si="178"/>
        <v>1.1825278669790398</v>
      </c>
      <c r="I210" s="165">
        <f t="shared" si="179"/>
        <v>19187.15519504686</v>
      </c>
      <c r="J210" s="155">
        <f t="shared" si="180"/>
        <v>19374.949811248214</v>
      </c>
      <c r="K210" s="164">
        <f t="shared" si="181"/>
        <v>1.0097875174455164</v>
      </c>
      <c r="L210" s="165">
        <f t="shared" si="182"/>
        <v>20867.928088080531</v>
      </c>
      <c r="M210" s="155">
        <f t="shared" si="183"/>
        <v>30999.919697997142</v>
      </c>
      <c r="N210" s="164">
        <f t="shared" si="184"/>
        <v>1.4855293523703421</v>
      </c>
      <c r="O210" s="165">
        <f t="shared" si="185"/>
        <v>18109.73667387143</v>
      </c>
      <c r="P210" s="155">
        <f t="shared" si="186"/>
        <v>0</v>
      </c>
      <c r="Q210" s="164">
        <f t="shared" si="187"/>
        <v>0</v>
      </c>
      <c r="R210" s="165">
        <f t="shared" si="188"/>
        <v>18109.73667387143</v>
      </c>
      <c r="S210" s="155">
        <f t="shared" si="189"/>
        <v>0</v>
      </c>
      <c r="T210" s="164">
        <f t="shared" si="190"/>
        <v>0</v>
      </c>
      <c r="U210" s="165">
        <f t="shared" si="191"/>
        <v>18109.73667387143</v>
      </c>
      <c r="V210" s="155">
        <f t="shared" si="192"/>
        <v>0</v>
      </c>
      <c r="W210" s="164">
        <f t="shared" si="193"/>
        <v>0</v>
      </c>
      <c r="X210" s="165">
        <f t="shared" si="194"/>
        <v>18109.73667387143</v>
      </c>
      <c r="Y210" s="155">
        <f t="shared" si="195"/>
        <v>0</v>
      </c>
      <c r="Z210" s="164">
        <f t="shared" si="196"/>
        <v>0</v>
      </c>
      <c r="AA210" s="165">
        <f t="shared" si="197"/>
        <v>18109.73667387143</v>
      </c>
      <c r="AB210" s="155">
        <f t="shared" si="198"/>
        <v>0</v>
      </c>
      <c r="AC210" s="164">
        <f t="shared" si="199"/>
        <v>0</v>
      </c>
    </row>
    <row r="211" spans="1:29" ht="13.8" thickBot="1" x14ac:dyDescent="0.3">
      <c r="A211" s="215">
        <f t="shared" si="173"/>
        <v>0.6</v>
      </c>
      <c r="B211" s="157">
        <f t="shared" si="173"/>
        <v>14.030747346933692</v>
      </c>
      <c r="C211" s="157">
        <f t="shared" si="173"/>
        <v>18262.360611048694</v>
      </c>
      <c r="D211" s="157">
        <f t="shared" si="174"/>
        <v>3023.8220385170766</v>
      </c>
      <c r="E211" s="205">
        <f t="shared" si="175"/>
        <v>21286.18264956577</v>
      </c>
      <c r="F211" s="215">
        <f t="shared" si="176"/>
        <v>23132.575249160291</v>
      </c>
      <c r="G211" s="157">
        <f t="shared" si="177"/>
        <v>27669.349813088349</v>
      </c>
      <c r="H211" s="205">
        <f t="shared" si="178"/>
        <v>1.1961206011463312</v>
      </c>
      <c r="I211" s="215">
        <f t="shared" si="179"/>
        <v>22568.399732617519</v>
      </c>
      <c r="J211" s="157">
        <f t="shared" si="180"/>
        <v>23057.791510906954</v>
      </c>
      <c r="K211" s="205">
        <f t="shared" si="181"/>
        <v>1.0216848240942016</v>
      </c>
      <c r="L211" s="215">
        <f t="shared" si="182"/>
        <v>24568.658382178251</v>
      </c>
      <c r="M211" s="157">
        <f t="shared" si="183"/>
        <v>36892.466417451134</v>
      </c>
      <c r="N211" s="205">
        <f t="shared" si="184"/>
        <v>1.5016068783068919</v>
      </c>
      <c r="O211" s="215">
        <f>E211+X162</f>
        <v>21286.18264956577</v>
      </c>
      <c r="P211" s="157">
        <f t="shared" si="186"/>
        <v>0</v>
      </c>
      <c r="Q211" s="205">
        <f t="shared" si="187"/>
        <v>0</v>
      </c>
      <c r="R211" s="215">
        <f t="shared" si="188"/>
        <v>21286.18264956577</v>
      </c>
      <c r="S211" s="157">
        <f t="shared" si="189"/>
        <v>0</v>
      </c>
      <c r="T211" s="205">
        <f t="shared" si="190"/>
        <v>0</v>
      </c>
      <c r="U211" s="215">
        <f t="shared" si="191"/>
        <v>21286.18264956577</v>
      </c>
      <c r="V211" s="157">
        <f t="shared" si="192"/>
        <v>0</v>
      </c>
      <c r="W211" s="205">
        <f t="shared" si="193"/>
        <v>0</v>
      </c>
      <c r="X211" s="215">
        <f t="shared" si="194"/>
        <v>21286.18264956577</v>
      </c>
      <c r="Y211" s="157">
        <f t="shared" si="195"/>
        <v>0</v>
      </c>
      <c r="Z211" s="205">
        <f t="shared" si="196"/>
        <v>0</v>
      </c>
      <c r="AA211" s="215">
        <f t="shared" si="197"/>
        <v>21286.18264956577</v>
      </c>
      <c r="AB211" s="157">
        <f t="shared" si="198"/>
        <v>0</v>
      </c>
      <c r="AC211" s="205">
        <f t="shared" si="199"/>
        <v>0</v>
      </c>
    </row>
    <row r="212" spans="1:29" x14ac:dyDescent="0.25">
      <c r="A212" s="257"/>
      <c r="B212" s="257"/>
      <c r="C212" s="257"/>
      <c r="D212" s="257"/>
      <c r="E212" s="257"/>
      <c r="F212" s="257"/>
      <c r="G212" s="257"/>
      <c r="H212" s="257"/>
      <c r="O212" s="148"/>
      <c r="P212" s="148"/>
      <c r="Q212" s="148"/>
      <c r="R212" s="678"/>
      <c r="S212" s="678"/>
      <c r="T212" s="678"/>
      <c r="U212" s="148"/>
      <c r="V212" s="148"/>
      <c r="W212" s="148"/>
      <c r="X212" s="148"/>
      <c r="Y212" s="148"/>
      <c r="Z212" s="148"/>
      <c r="AA212" s="148"/>
      <c r="AB212" s="148"/>
      <c r="AC212" s="148"/>
    </row>
    <row r="213" spans="1:29" ht="13.8" thickBot="1" x14ac:dyDescent="0.3">
      <c r="A213" s="257"/>
      <c r="B213" s="257"/>
      <c r="C213" s="257"/>
      <c r="D213" s="257"/>
      <c r="E213" s="257"/>
      <c r="F213" s="257"/>
      <c r="G213" s="257"/>
      <c r="H213" s="257"/>
      <c r="O213" s="148"/>
      <c r="P213" s="148"/>
      <c r="Q213" s="148"/>
      <c r="R213" s="145"/>
      <c r="S213" s="145"/>
      <c r="T213" s="145"/>
      <c r="U213" s="145"/>
      <c r="V213" s="145"/>
      <c r="W213" s="145"/>
      <c r="X213" s="145"/>
      <c r="Y213" s="145"/>
      <c r="Z213" s="148"/>
      <c r="AA213" s="148"/>
      <c r="AB213" s="148"/>
      <c r="AC213" s="148"/>
    </row>
    <row r="214" spans="1:29" ht="27.75" customHeight="1" thickBot="1" x14ac:dyDescent="0.3">
      <c r="A214" s="268" t="s">
        <v>299</v>
      </c>
      <c r="B214" s="269"/>
      <c r="C214" s="270" t="s">
        <v>301</v>
      </c>
      <c r="D214" s="271"/>
      <c r="E214" s="272"/>
      <c r="F214" s="260" t="s">
        <v>286</v>
      </c>
      <c r="G214" s="672" t="s">
        <v>295</v>
      </c>
      <c r="H214" s="673">
        <f>H199</f>
        <v>3</v>
      </c>
      <c r="I214" s="263" t="s">
        <v>288</v>
      </c>
      <c r="J214" s="674" t="s">
        <v>295</v>
      </c>
      <c r="K214" s="675">
        <f>K199</f>
        <v>2.5</v>
      </c>
      <c r="L214" s="260" t="s">
        <v>289</v>
      </c>
      <c r="M214" s="672" t="s">
        <v>295</v>
      </c>
      <c r="N214" s="673">
        <f>N199</f>
        <v>4</v>
      </c>
      <c r="O214" s="263" t="s">
        <v>290</v>
      </c>
      <c r="P214" s="674" t="s">
        <v>295</v>
      </c>
      <c r="Q214" s="675">
        <f>Q199</f>
        <v>0</v>
      </c>
      <c r="R214" s="260" t="s">
        <v>291</v>
      </c>
      <c r="S214" s="672" t="s">
        <v>296</v>
      </c>
      <c r="T214" s="673">
        <f>T199</f>
        <v>0</v>
      </c>
      <c r="U214" s="264" t="s">
        <v>292</v>
      </c>
      <c r="V214" s="676" t="s">
        <v>295</v>
      </c>
      <c r="W214" s="675">
        <f>W199</f>
        <v>0</v>
      </c>
      <c r="X214" s="260" t="s">
        <v>293</v>
      </c>
      <c r="Y214" s="672" t="s">
        <v>295</v>
      </c>
      <c r="Z214" s="673">
        <f>Z199</f>
        <v>0</v>
      </c>
      <c r="AA214" s="264" t="s">
        <v>294</v>
      </c>
      <c r="AB214" s="676" t="s">
        <v>296</v>
      </c>
      <c r="AC214" s="675">
        <f>AC199</f>
        <v>0</v>
      </c>
    </row>
    <row r="215" spans="1:29" ht="13.8" thickBot="1" x14ac:dyDescent="0.3">
      <c r="A215" s="149" t="str">
        <f>A200</f>
        <v>Froude No</v>
      </c>
      <c r="B215" s="211" t="str">
        <f>B200</f>
        <v>Boat Speed  KTS</v>
      </c>
      <c r="C215" s="150" t="str">
        <f>C200</f>
        <v>Rupright</v>
      </c>
      <c r="D215" s="150" t="str">
        <f>D200</f>
        <v>R Heel</v>
      </c>
      <c r="E215" s="212" t="str">
        <f>E200</f>
        <v>Rup+ Rheel</v>
      </c>
      <c r="F215" s="149" t="s">
        <v>287</v>
      </c>
      <c r="G215" s="150" t="s">
        <v>238</v>
      </c>
      <c r="H215" s="212" t="s">
        <v>239</v>
      </c>
      <c r="I215" s="149" t="s">
        <v>287</v>
      </c>
      <c r="J215" s="150" t="s">
        <v>238</v>
      </c>
      <c r="K215" s="212" t="s">
        <v>239</v>
      </c>
      <c r="L215" s="149" t="s">
        <v>287</v>
      </c>
      <c r="M215" s="150" t="s">
        <v>238</v>
      </c>
      <c r="N215" s="212" t="s">
        <v>239</v>
      </c>
      <c r="O215" s="149" t="s">
        <v>287</v>
      </c>
      <c r="P215" s="150" t="s">
        <v>238</v>
      </c>
      <c r="Q215" s="212" t="s">
        <v>239</v>
      </c>
      <c r="R215" s="149" t="s">
        <v>287</v>
      </c>
      <c r="S215" s="150" t="s">
        <v>238</v>
      </c>
      <c r="T215" s="212" t="s">
        <v>239</v>
      </c>
      <c r="U215" s="149" t="s">
        <v>287</v>
      </c>
      <c r="V215" s="150" t="s">
        <v>238</v>
      </c>
      <c r="W215" s="212" t="s">
        <v>239</v>
      </c>
      <c r="X215" s="149" t="s">
        <v>287</v>
      </c>
      <c r="Y215" s="150" t="s">
        <v>238</v>
      </c>
      <c r="Z215" s="212" t="s">
        <v>239</v>
      </c>
      <c r="AA215" s="149" t="s">
        <v>287</v>
      </c>
      <c r="AB215" s="150" t="s">
        <v>238</v>
      </c>
      <c r="AC215" s="212" t="s">
        <v>239</v>
      </c>
    </row>
    <row r="216" spans="1:29" x14ac:dyDescent="0.25">
      <c r="A216" s="163">
        <f t="shared" ref="A216:C226" si="200">A201</f>
        <v>0.1</v>
      </c>
      <c r="B216" s="153">
        <f t="shared" si="200"/>
        <v>2.3384578911556155</v>
      </c>
      <c r="C216" s="153">
        <f t="shared" si="200"/>
        <v>144.89634523499709</v>
      </c>
      <c r="D216" s="153">
        <f t="shared" ref="D216:D226" si="201">F68</f>
        <v>3.4997940260614326</v>
      </c>
      <c r="E216" s="164">
        <f t="shared" ref="E216:E226" si="202">SUM(C216:D216)</f>
        <v>148.39613926105852</v>
      </c>
      <c r="F216" s="677">
        <f t="shared" ref="F216:F226" si="203">E216+F122</f>
        <v>176.64743727553645</v>
      </c>
      <c r="G216" s="261">
        <f t="shared" ref="G216:G226" si="204">F108</f>
        <v>512.1860021742981</v>
      </c>
      <c r="H216" s="262">
        <f t="shared" ref="H216:H226" si="205">G216/F216</f>
        <v>2.8994816458921235</v>
      </c>
      <c r="I216" s="677">
        <f t="shared" ref="I216:I226" si="206">E216+M122</f>
        <v>168.01509621555709</v>
      </c>
      <c r="J216" s="261">
        <f t="shared" ref="J216:J226" si="207">M108</f>
        <v>426.82166847858178</v>
      </c>
      <c r="K216" s="262">
        <f t="shared" ref="K216:K226" si="208">J216/I216</f>
        <v>2.5403768952462791</v>
      </c>
      <c r="L216" s="677">
        <f t="shared" ref="L216:L226" si="209">E216+T122</f>
        <v>198.62066906457483</v>
      </c>
      <c r="M216" s="261">
        <f t="shared" ref="M216:M226" si="210">T108</f>
        <v>682.91466956573083</v>
      </c>
      <c r="N216" s="262">
        <f t="shared" ref="N216:N226" si="211">M216/L216</f>
        <v>3.4382860191841571</v>
      </c>
      <c r="O216" s="677">
        <f t="shared" ref="O216:O226" si="212">E216+AA122</f>
        <v>148.39613926105852</v>
      </c>
      <c r="P216" s="261">
        <f t="shared" ref="P216:P226" si="213">AA108</f>
        <v>0</v>
      </c>
      <c r="Q216" s="262">
        <f t="shared" ref="Q216:Q226" si="214">P216/O216</f>
        <v>0</v>
      </c>
      <c r="R216" s="677">
        <f t="shared" ref="R216:R226" si="215">E216+F154</f>
        <v>148.39613926105852</v>
      </c>
      <c r="S216" s="261">
        <f t="shared" ref="S216:S226" si="216">F140</f>
        <v>0</v>
      </c>
      <c r="T216" s="262">
        <f t="shared" ref="T216:T226" si="217">S216/R216</f>
        <v>0</v>
      </c>
      <c r="U216" s="677">
        <f t="shared" ref="U216:U226" si="218">E216+M154</f>
        <v>148.39613926105852</v>
      </c>
      <c r="V216" s="261">
        <f t="shared" ref="V216:V226" si="219">M140</f>
        <v>0</v>
      </c>
      <c r="W216" s="262">
        <f t="shared" ref="W216:W226" si="220">V216/U216</f>
        <v>0</v>
      </c>
      <c r="X216" s="677">
        <f t="shared" ref="X216:X226" si="221">E216+T154</f>
        <v>148.39613926105852</v>
      </c>
      <c r="Y216" s="261">
        <f t="shared" ref="Y216:Y226" si="222">T140</f>
        <v>0</v>
      </c>
      <c r="Z216" s="262">
        <f t="shared" ref="Z216:Z226" si="223">Y216/X216</f>
        <v>0</v>
      </c>
      <c r="AA216" s="677">
        <f t="shared" ref="AA216:AA226" si="224">E216+AA154</f>
        <v>148.39613926105852</v>
      </c>
      <c r="AB216" s="261">
        <f t="shared" ref="AB216:AB226" si="225">AA140</f>
        <v>0</v>
      </c>
      <c r="AC216" s="262">
        <f t="shared" ref="AC216:AC226" si="226">AB216/AA216</f>
        <v>0</v>
      </c>
    </row>
    <row r="217" spans="1:29" x14ac:dyDescent="0.25">
      <c r="A217" s="165">
        <f t="shared" si="200"/>
        <v>0.15</v>
      </c>
      <c r="B217" s="155">
        <f t="shared" si="200"/>
        <v>3.5076868367334231</v>
      </c>
      <c r="C217" s="155">
        <f t="shared" si="200"/>
        <v>345.84494271231762</v>
      </c>
      <c r="D217" s="155">
        <f t="shared" si="201"/>
        <v>17.717707256935995</v>
      </c>
      <c r="E217" s="164">
        <f t="shared" si="202"/>
        <v>363.56264996925358</v>
      </c>
      <c r="F217" s="165">
        <f t="shared" si="203"/>
        <v>427.12807050182892</v>
      </c>
      <c r="G217" s="155">
        <f t="shared" si="204"/>
        <v>1152.4185048921706</v>
      </c>
      <c r="H217" s="164">
        <f t="shared" si="205"/>
        <v>2.6980631442419707</v>
      </c>
      <c r="I217" s="165">
        <f t="shared" si="206"/>
        <v>407.70530311687537</v>
      </c>
      <c r="J217" s="155">
        <f t="shared" si="207"/>
        <v>960.34875407680886</v>
      </c>
      <c r="K217" s="164">
        <f t="shared" si="208"/>
        <v>2.3554973328406996</v>
      </c>
      <c r="L217" s="165">
        <f t="shared" si="209"/>
        <v>476.56784202716528</v>
      </c>
      <c r="M217" s="155">
        <f t="shared" si="210"/>
        <v>1536.5580065228942</v>
      </c>
      <c r="N217" s="164">
        <f t="shared" si="211"/>
        <v>3.2242167242902373</v>
      </c>
      <c r="O217" s="165">
        <f t="shared" si="212"/>
        <v>363.56264996925358</v>
      </c>
      <c r="P217" s="155">
        <f t="shared" si="213"/>
        <v>0</v>
      </c>
      <c r="Q217" s="164">
        <f t="shared" si="214"/>
        <v>0</v>
      </c>
      <c r="R217" s="165">
        <f t="shared" si="215"/>
        <v>363.56264996925358</v>
      </c>
      <c r="S217" s="155">
        <f t="shared" si="216"/>
        <v>0</v>
      </c>
      <c r="T217" s="164">
        <f t="shared" si="217"/>
        <v>0</v>
      </c>
      <c r="U217" s="165">
        <f t="shared" si="218"/>
        <v>363.56264996925358</v>
      </c>
      <c r="V217" s="155">
        <f t="shared" si="219"/>
        <v>0</v>
      </c>
      <c r="W217" s="164">
        <f t="shared" si="220"/>
        <v>0</v>
      </c>
      <c r="X217" s="165">
        <f t="shared" si="221"/>
        <v>363.56264996925358</v>
      </c>
      <c r="Y217" s="155">
        <f t="shared" si="222"/>
        <v>0</v>
      </c>
      <c r="Z217" s="164">
        <f t="shared" si="223"/>
        <v>0</v>
      </c>
      <c r="AA217" s="165">
        <f t="shared" si="224"/>
        <v>363.56264996925358</v>
      </c>
      <c r="AB217" s="155">
        <f t="shared" si="225"/>
        <v>0</v>
      </c>
      <c r="AC217" s="164">
        <f t="shared" si="226"/>
        <v>0</v>
      </c>
    </row>
    <row r="218" spans="1:29" x14ac:dyDescent="0.25">
      <c r="A218" s="165">
        <f t="shared" si="200"/>
        <v>0.2</v>
      </c>
      <c r="B218" s="155">
        <f t="shared" si="200"/>
        <v>4.6769157823112311</v>
      </c>
      <c r="C218" s="155">
        <f t="shared" si="200"/>
        <v>658.22482599071009</v>
      </c>
      <c r="D218" s="155">
        <f t="shared" si="201"/>
        <v>55.996704416982922</v>
      </c>
      <c r="E218" s="164">
        <f t="shared" si="202"/>
        <v>714.22153040769297</v>
      </c>
      <c r="F218" s="165">
        <f t="shared" si="203"/>
        <v>827.22672246560467</v>
      </c>
      <c r="G218" s="155">
        <f t="shared" si="204"/>
        <v>2048.7440086971924</v>
      </c>
      <c r="H218" s="164">
        <f t="shared" si="205"/>
        <v>2.4766414733203659</v>
      </c>
      <c r="I218" s="165">
        <f t="shared" si="206"/>
        <v>792.69735822568725</v>
      </c>
      <c r="J218" s="155">
        <f t="shared" si="207"/>
        <v>1707.2866739143271</v>
      </c>
      <c r="K218" s="164">
        <f t="shared" si="208"/>
        <v>2.1537685930173733</v>
      </c>
      <c r="L218" s="165">
        <f t="shared" si="209"/>
        <v>915.1196496217583</v>
      </c>
      <c r="M218" s="155">
        <f t="shared" si="210"/>
        <v>2731.6586782629233</v>
      </c>
      <c r="N218" s="164">
        <f t="shared" si="211"/>
        <v>2.9850289843431792</v>
      </c>
      <c r="O218" s="165">
        <f t="shared" si="212"/>
        <v>714.22153040769297</v>
      </c>
      <c r="P218" s="155">
        <f t="shared" si="213"/>
        <v>0</v>
      </c>
      <c r="Q218" s="164">
        <f t="shared" si="214"/>
        <v>0</v>
      </c>
      <c r="R218" s="165">
        <f t="shared" si="215"/>
        <v>714.22153040769297</v>
      </c>
      <c r="S218" s="155">
        <f t="shared" si="216"/>
        <v>0</v>
      </c>
      <c r="T218" s="164">
        <f t="shared" si="217"/>
        <v>0</v>
      </c>
      <c r="U218" s="165">
        <f t="shared" si="218"/>
        <v>714.22153040769297</v>
      </c>
      <c r="V218" s="155">
        <f t="shared" si="219"/>
        <v>0</v>
      </c>
      <c r="W218" s="164">
        <f t="shared" si="220"/>
        <v>0</v>
      </c>
      <c r="X218" s="165">
        <f t="shared" si="221"/>
        <v>714.22153040769297</v>
      </c>
      <c r="Y218" s="155">
        <f t="shared" si="222"/>
        <v>0</v>
      </c>
      <c r="Z218" s="164">
        <f t="shared" si="223"/>
        <v>0</v>
      </c>
      <c r="AA218" s="165">
        <f t="shared" si="224"/>
        <v>714.22153040769297</v>
      </c>
      <c r="AB218" s="155">
        <f t="shared" si="225"/>
        <v>0</v>
      </c>
      <c r="AC218" s="164">
        <f t="shared" si="226"/>
        <v>0</v>
      </c>
    </row>
    <row r="219" spans="1:29" x14ac:dyDescent="0.25">
      <c r="A219" s="165">
        <f t="shared" si="200"/>
        <v>0.25</v>
      </c>
      <c r="B219" s="155">
        <f t="shared" si="200"/>
        <v>5.8461447278890386</v>
      </c>
      <c r="C219" s="155">
        <f t="shared" si="200"/>
        <v>1123.3426992152276</v>
      </c>
      <c r="D219" s="155">
        <f t="shared" si="201"/>
        <v>136.71070414302471</v>
      </c>
      <c r="E219" s="164">
        <f t="shared" si="202"/>
        <v>1260.0534033582524</v>
      </c>
      <c r="F219" s="165">
        <f t="shared" si="203"/>
        <v>1436.6240159487395</v>
      </c>
      <c r="G219" s="155">
        <f t="shared" si="204"/>
        <v>3201.1625135893628</v>
      </c>
      <c r="H219" s="164">
        <f t="shared" si="205"/>
        <v>2.2282535152214691</v>
      </c>
      <c r="I219" s="165">
        <f t="shared" si="206"/>
        <v>1382.6718843238684</v>
      </c>
      <c r="J219" s="155">
        <f t="shared" si="207"/>
        <v>2667.6354279911357</v>
      </c>
      <c r="K219" s="164">
        <f t="shared" si="208"/>
        <v>1.9293336750646515</v>
      </c>
      <c r="L219" s="165">
        <f t="shared" si="209"/>
        <v>1573.9567146302293</v>
      </c>
      <c r="M219" s="155">
        <f t="shared" si="210"/>
        <v>4268.2166847858171</v>
      </c>
      <c r="N219" s="164">
        <f t="shared" si="211"/>
        <v>2.7117751365789955</v>
      </c>
      <c r="O219" s="165">
        <f t="shared" si="212"/>
        <v>1260.0534033582524</v>
      </c>
      <c r="P219" s="155">
        <f t="shared" si="213"/>
        <v>0</v>
      </c>
      <c r="Q219" s="164">
        <f t="shared" si="214"/>
        <v>0</v>
      </c>
      <c r="R219" s="165">
        <f t="shared" si="215"/>
        <v>1260.0534033582524</v>
      </c>
      <c r="S219" s="155">
        <f t="shared" si="216"/>
        <v>0</v>
      </c>
      <c r="T219" s="164">
        <f t="shared" si="217"/>
        <v>0</v>
      </c>
      <c r="U219" s="165">
        <f t="shared" si="218"/>
        <v>1260.0534033582524</v>
      </c>
      <c r="V219" s="155">
        <f t="shared" si="219"/>
        <v>0</v>
      </c>
      <c r="W219" s="164">
        <f t="shared" si="220"/>
        <v>0</v>
      </c>
      <c r="X219" s="165">
        <f t="shared" si="221"/>
        <v>1260.0534033582524</v>
      </c>
      <c r="Y219" s="155">
        <f t="shared" si="222"/>
        <v>0</v>
      </c>
      <c r="Z219" s="164">
        <f t="shared" si="223"/>
        <v>0</v>
      </c>
      <c r="AA219" s="165">
        <f t="shared" si="224"/>
        <v>1260.0534033582524</v>
      </c>
      <c r="AB219" s="155">
        <f t="shared" si="225"/>
        <v>0</v>
      </c>
      <c r="AC219" s="164">
        <f t="shared" si="226"/>
        <v>0</v>
      </c>
    </row>
    <row r="220" spans="1:29" x14ac:dyDescent="0.25">
      <c r="A220" s="213">
        <f t="shared" si="200"/>
        <v>0.3</v>
      </c>
      <c r="B220" s="214">
        <f t="shared" si="200"/>
        <v>7.0153736734668461</v>
      </c>
      <c r="C220" s="214">
        <f t="shared" si="200"/>
        <v>1698.4349628844636</v>
      </c>
      <c r="D220" s="214">
        <f t="shared" si="201"/>
        <v>283.48331611097592</v>
      </c>
      <c r="E220" s="164">
        <f t="shared" si="202"/>
        <v>1981.9182789954396</v>
      </c>
      <c r="F220" s="165">
        <f t="shared" si="203"/>
        <v>2236.1799611257411</v>
      </c>
      <c r="G220" s="214">
        <f t="shared" si="204"/>
        <v>4609.6740195686825</v>
      </c>
      <c r="H220" s="164">
        <f t="shared" si="205"/>
        <v>2.0614056559419636</v>
      </c>
      <c r="I220" s="165">
        <f t="shared" si="206"/>
        <v>2158.4888915859265</v>
      </c>
      <c r="J220" s="214">
        <f t="shared" si="207"/>
        <v>3841.3950163072354</v>
      </c>
      <c r="K220" s="164">
        <f t="shared" si="208"/>
        <v>1.779668652121166</v>
      </c>
      <c r="L220" s="165">
        <f t="shared" si="209"/>
        <v>2433.9390472270866</v>
      </c>
      <c r="M220" s="214">
        <f t="shared" si="210"/>
        <v>6146.2320260915767</v>
      </c>
      <c r="N220" s="164">
        <f t="shared" si="211"/>
        <v>2.5252201911521959</v>
      </c>
      <c r="O220" s="165">
        <f t="shared" si="212"/>
        <v>1981.9182789954396</v>
      </c>
      <c r="P220" s="214">
        <f t="shared" si="213"/>
        <v>0</v>
      </c>
      <c r="Q220" s="164">
        <f t="shared" si="214"/>
        <v>0</v>
      </c>
      <c r="R220" s="165">
        <f t="shared" si="215"/>
        <v>1981.9182789954396</v>
      </c>
      <c r="S220" s="214">
        <f t="shared" si="216"/>
        <v>0</v>
      </c>
      <c r="T220" s="164">
        <f t="shared" si="217"/>
        <v>0</v>
      </c>
      <c r="U220" s="165">
        <f t="shared" si="218"/>
        <v>1981.9182789954396</v>
      </c>
      <c r="V220" s="214">
        <f t="shared" si="219"/>
        <v>0</v>
      </c>
      <c r="W220" s="164">
        <f t="shared" si="220"/>
        <v>0</v>
      </c>
      <c r="X220" s="165">
        <f t="shared" si="221"/>
        <v>1981.9182789954396</v>
      </c>
      <c r="Y220" s="214">
        <f t="shared" si="222"/>
        <v>0</v>
      </c>
      <c r="Z220" s="164">
        <f t="shared" si="223"/>
        <v>0</v>
      </c>
      <c r="AA220" s="165">
        <f t="shared" si="224"/>
        <v>1981.9182789954396</v>
      </c>
      <c r="AB220" s="214">
        <f t="shared" si="225"/>
        <v>0</v>
      </c>
      <c r="AC220" s="164">
        <f t="shared" si="226"/>
        <v>0</v>
      </c>
    </row>
    <row r="221" spans="1:29" x14ac:dyDescent="0.25">
      <c r="A221" s="213">
        <f t="shared" si="200"/>
        <v>0.35</v>
      </c>
      <c r="B221" s="214">
        <f t="shared" si="200"/>
        <v>8.1846026190446537</v>
      </c>
      <c r="C221" s="214">
        <f t="shared" si="200"/>
        <v>2719.6000713870526</v>
      </c>
      <c r="D221" s="214">
        <f t="shared" si="201"/>
        <v>525.18784103584335</v>
      </c>
      <c r="E221" s="164">
        <f t="shared" si="202"/>
        <v>3244.7879124228957</v>
      </c>
      <c r="F221" s="165">
        <f t="shared" si="203"/>
        <v>3590.8663131002504</v>
      </c>
      <c r="G221" s="214">
        <f t="shared" si="204"/>
        <v>6274.2785266351511</v>
      </c>
      <c r="H221" s="164">
        <f t="shared" si="205"/>
        <v>1.7472882529057787</v>
      </c>
      <c r="I221" s="165">
        <f t="shared" si="206"/>
        <v>3485.1201351155032</v>
      </c>
      <c r="J221" s="214">
        <f t="shared" si="207"/>
        <v>5228.5654388626253</v>
      </c>
      <c r="K221" s="164">
        <f t="shared" si="208"/>
        <v>1.5002540044977075</v>
      </c>
      <c r="L221" s="165">
        <f t="shared" si="209"/>
        <v>3860.0384025159706</v>
      </c>
      <c r="M221" s="214">
        <f t="shared" si="210"/>
        <v>8365.7047021802009</v>
      </c>
      <c r="N221" s="164">
        <f t="shared" si="211"/>
        <v>2.1672594492136246</v>
      </c>
      <c r="O221" s="165">
        <f t="shared" si="212"/>
        <v>3244.7879124228957</v>
      </c>
      <c r="P221" s="214">
        <f t="shared" si="213"/>
        <v>0</v>
      </c>
      <c r="Q221" s="164">
        <f t="shared" si="214"/>
        <v>0</v>
      </c>
      <c r="R221" s="165">
        <f t="shared" si="215"/>
        <v>3244.7879124228957</v>
      </c>
      <c r="S221" s="214">
        <f t="shared" si="216"/>
        <v>0</v>
      </c>
      <c r="T221" s="164">
        <f t="shared" si="217"/>
        <v>0</v>
      </c>
      <c r="U221" s="165">
        <f t="shared" si="218"/>
        <v>3244.7879124228957</v>
      </c>
      <c r="V221" s="214">
        <f t="shared" si="219"/>
        <v>0</v>
      </c>
      <c r="W221" s="164">
        <f t="shared" si="220"/>
        <v>0</v>
      </c>
      <c r="X221" s="165">
        <f t="shared" si="221"/>
        <v>3244.7879124228957</v>
      </c>
      <c r="Y221" s="214">
        <f t="shared" si="222"/>
        <v>0</v>
      </c>
      <c r="Z221" s="164">
        <f t="shared" si="223"/>
        <v>0</v>
      </c>
      <c r="AA221" s="165">
        <f t="shared" si="224"/>
        <v>3244.7879124228957</v>
      </c>
      <c r="AB221" s="214">
        <f t="shared" si="225"/>
        <v>0</v>
      </c>
      <c r="AC221" s="164">
        <f t="shared" si="226"/>
        <v>0</v>
      </c>
    </row>
    <row r="222" spans="1:29" x14ac:dyDescent="0.25">
      <c r="A222" s="213">
        <f t="shared" si="200"/>
        <v>0.4</v>
      </c>
      <c r="B222" s="214">
        <f t="shared" si="200"/>
        <v>9.3538315646224621</v>
      </c>
      <c r="C222" s="214">
        <f t="shared" si="200"/>
        <v>5050.9078321204297</v>
      </c>
      <c r="D222" s="214">
        <f t="shared" si="201"/>
        <v>895.94727067172676</v>
      </c>
      <c r="E222" s="164">
        <f t="shared" si="202"/>
        <v>5946.8551027921567</v>
      </c>
      <c r="F222" s="165">
        <f t="shared" si="203"/>
        <v>6398.8758710238035</v>
      </c>
      <c r="G222" s="214">
        <f t="shared" si="204"/>
        <v>8194.9760347887695</v>
      </c>
      <c r="H222" s="164">
        <f t="shared" si="205"/>
        <v>1.2806899524177822</v>
      </c>
      <c r="I222" s="165">
        <f t="shared" si="206"/>
        <v>6260.7584140641338</v>
      </c>
      <c r="J222" s="214">
        <f t="shared" si="207"/>
        <v>6829.1466956573086</v>
      </c>
      <c r="K222" s="164">
        <f t="shared" si="208"/>
        <v>1.0907858511704189</v>
      </c>
      <c r="L222" s="165">
        <f t="shared" si="209"/>
        <v>6750.4475796484176</v>
      </c>
      <c r="M222" s="214">
        <f t="shared" si="210"/>
        <v>10926.634713051693</v>
      </c>
      <c r="N222" s="164">
        <f t="shared" si="211"/>
        <v>1.6186533684068374</v>
      </c>
      <c r="O222" s="165">
        <f t="shared" si="212"/>
        <v>5946.8551027921567</v>
      </c>
      <c r="P222" s="214">
        <f t="shared" si="213"/>
        <v>0</v>
      </c>
      <c r="Q222" s="164">
        <f t="shared" si="214"/>
        <v>0</v>
      </c>
      <c r="R222" s="165">
        <f t="shared" si="215"/>
        <v>5946.8551027921567</v>
      </c>
      <c r="S222" s="214">
        <f t="shared" si="216"/>
        <v>0</v>
      </c>
      <c r="T222" s="164">
        <f t="shared" si="217"/>
        <v>0</v>
      </c>
      <c r="U222" s="165">
        <f t="shared" si="218"/>
        <v>5946.8551027921567</v>
      </c>
      <c r="V222" s="214">
        <f t="shared" si="219"/>
        <v>0</v>
      </c>
      <c r="W222" s="164">
        <f t="shared" si="220"/>
        <v>0</v>
      </c>
      <c r="X222" s="165">
        <f t="shared" si="221"/>
        <v>5946.8551027921567</v>
      </c>
      <c r="Y222" s="214">
        <f t="shared" si="222"/>
        <v>0</v>
      </c>
      <c r="Z222" s="164">
        <f t="shared" si="223"/>
        <v>0</v>
      </c>
      <c r="AA222" s="165">
        <f t="shared" si="224"/>
        <v>5946.8551027921567</v>
      </c>
      <c r="AB222" s="214">
        <f t="shared" si="225"/>
        <v>0</v>
      </c>
      <c r="AC222" s="164">
        <f t="shared" si="226"/>
        <v>0</v>
      </c>
    </row>
    <row r="223" spans="1:29" x14ac:dyDescent="0.25">
      <c r="A223" s="213">
        <f t="shared" si="200"/>
        <v>0.45</v>
      </c>
      <c r="B223" s="214">
        <f t="shared" si="200"/>
        <v>10.523060510200271</v>
      </c>
      <c r="C223" s="214">
        <f t="shared" si="200"/>
        <v>8559.0402301463437</v>
      </c>
      <c r="D223" s="214">
        <f t="shared" si="201"/>
        <v>1435.1342878118162</v>
      </c>
      <c r="E223" s="164">
        <f t="shared" si="202"/>
        <v>9994.1745179581594</v>
      </c>
      <c r="F223" s="165">
        <f t="shared" si="203"/>
        <v>10566.263302751338</v>
      </c>
      <c r="G223" s="214">
        <f t="shared" si="204"/>
        <v>10371.766544029539</v>
      </c>
      <c r="H223" s="164">
        <f t="shared" si="205"/>
        <v>0.98159266401480316</v>
      </c>
      <c r="I223" s="165">
        <f t="shared" si="206"/>
        <v>10391.458396286755</v>
      </c>
      <c r="J223" s="214">
        <f t="shared" si="207"/>
        <v>8643.1387866912828</v>
      </c>
      <c r="K223" s="164">
        <f t="shared" si="208"/>
        <v>0.83175416357147613</v>
      </c>
      <c r="L223" s="165">
        <f t="shared" si="209"/>
        <v>11011.221246479365</v>
      </c>
      <c r="M223" s="214">
        <f t="shared" si="210"/>
        <v>13829.022058706054</v>
      </c>
      <c r="N223" s="164">
        <f t="shared" si="211"/>
        <v>1.2559026604907815</v>
      </c>
      <c r="O223" s="165">
        <f t="shared" si="212"/>
        <v>9994.1745179581594</v>
      </c>
      <c r="P223" s="214">
        <f t="shared" si="213"/>
        <v>0</v>
      </c>
      <c r="Q223" s="164">
        <f t="shared" si="214"/>
        <v>0</v>
      </c>
      <c r="R223" s="165">
        <f t="shared" si="215"/>
        <v>9994.1745179581594</v>
      </c>
      <c r="S223" s="214">
        <f t="shared" si="216"/>
        <v>0</v>
      </c>
      <c r="T223" s="164">
        <f t="shared" si="217"/>
        <v>0</v>
      </c>
      <c r="U223" s="165">
        <f t="shared" si="218"/>
        <v>9994.1745179581594</v>
      </c>
      <c r="V223" s="214">
        <f t="shared" si="219"/>
        <v>0</v>
      </c>
      <c r="W223" s="164">
        <f t="shared" si="220"/>
        <v>0</v>
      </c>
      <c r="X223" s="165">
        <f t="shared" si="221"/>
        <v>9994.1745179581594</v>
      </c>
      <c r="Y223" s="214">
        <f t="shared" si="222"/>
        <v>0</v>
      </c>
      <c r="Z223" s="164">
        <f t="shared" si="223"/>
        <v>0</v>
      </c>
      <c r="AA223" s="165">
        <f t="shared" si="224"/>
        <v>9994.1745179581594</v>
      </c>
      <c r="AB223" s="214">
        <f t="shared" si="225"/>
        <v>0</v>
      </c>
      <c r="AC223" s="164">
        <f t="shared" si="226"/>
        <v>0</v>
      </c>
    </row>
    <row r="224" spans="1:29" x14ac:dyDescent="0.25">
      <c r="A224" s="213">
        <f t="shared" si="200"/>
        <v>0.5</v>
      </c>
      <c r="B224" s="214">
        <f t="shared" si="200"/>
        <v>11.692289455778077</v>
      </c>
      <c r="C224" s="214">
        <f t="shared" si="200"/>
        <v>12988.012324953252</v>
      </c>
      <c r="D224" s="214">
        <f t="shared" si="201"/>
        <v>2187.3712662883954</v>
      </c>
      <c r="E224" s="164">
        <f t="shared" si="202"/>
        <v>15175.383591241647</v>
      </c>
      <c r="F224" s="165">
        <f t="shared" si="203"/>
        <v>15881.666041603596</v>
      </c>
      <c r="G224" s="214">
        <f t="shared" si="204"/>
        <v>12804.650054357451</v>
      </c>
      <c r="H224" s="164">
        <f t="shared" si="205"/>
        <v>0.8062535769745065</v>
      </c>
      <c r="I224" s="165">
        <f t="shared" si="206"/>
        <v>15665.857515104111</v>
      </c>
      <c r="J224" s="214">
        <f t="shared" si="207"/>
        <v>10670.541711964543</v>
      </c>
      <c r="K224" s="164">
        <f t="shared" si="208"/>
        <v>0.68113358631512033</v>
      </c>
      <c r="L224" s="165">
        <f t="shared" si="209"/>
        <v>16430.996836329556</v>
      </c>
      <c r="M224" s="214">
        <f t="shared" si="210"/>
        <v>17072.866739143268</v>
      </c>
      <c r="N224" s="164">
        <f t="shared" si="211"/>
        <v>1.0390645746699017</v>
      </c>
      <c r="O224" s="165">
        <f t="shared" si="212"/>
        <v>15175.383591241647</v>
      </c>
      <c r="P224" s="214">
        <f t="shared" si="213"/>
        <v>0</v>
      </c>
      <c r="Q224" s="164">
        <f t="shared" si="214"/>
        <v>0</v>
      </c>
      <c r="R224" s="165">
        <f t="shared" si="215"/>
        <v>15175.383591241647</v>
      </c>
      <c r="S224" s="214">
        <f t="shared" si="216"/>
        <v>0</v>
      </c>
      <c r="T224" s="164">
        <f t="shared" si="217"/>
        <v>0</v>
      </c>
      <c r="U224" s="165">
        <f t="shared" si="218"/>
        <v>15175.383591241647</v>
      </c>
      <c r="V224" s="214">
        <f t="shared" si="219"/>
        <v>0</v>
      </c>
      <c r="W224" s="164">
        <f t="shared" si="220"/>
        <v>0</v>
      </c>
      <c r="X224" s="165">
        <f t="shared" si="221"/>
        <v>15175.383591241647</v>
      </c>
      <c r="Y224" s="214">
        <f t="shared" si="222"/>
        <v>0</v>
      </c>
      <c r="Z224" s="164">
        <f t="shared" si="223"/>
        <v>0</v>
      </c>
      <c r="AA224" s="165">
        <f t="shared" si="224"/>
        <v>15175.383591241647</v>
      </c>
      <c r="AB224" s="214">
        <f t="shared" si="225"/>
        <v>0</v>
      </c>
      <c r="AC224" s="164">
        <f t="shared" si="226"/>
        <v>0</v>
      </c>
    </row>
    <row r="225" spans="1:29" x14ac:dyDescent="0.25">
      <c r="A225" s="165">
        <f t="shared" si="200"/>
        <v>0.55000000000000004</v>
      </c>
      <c r="B225" s="155">
        <f t="shared" si="200"/>
        <v>12.861518401355886</v>
      </c>
      <c r="C225" s="155">
        <f t="shared" si="200"/>
        <v>15974.716493222872</v>
      </c>
      <c r="D225" s="155">
        <f t="shared" si="201"/>
        <v>3202.5302709728394</v>
      </c>
      <c r="E225" s="164">
        <f t="shared" si="202"/>
        <v>19177.246764195712</v>
      </c>
      <c r="F225" s="165">
        <f t="shared" si="203"/>
        <v>20031.848529133669</v>
      </c>
      <c r="G225" s="155">
        <f t="shared" si="204"/>
        <v>15493.626565772522</v>
      </c>
      <c r="H225" s="164">
        <f t="shared" si="205"/>
        <v>0.77344966657665637</v>
      </c>
      <c r="I225" s="165">
        <f t="shared" si="206"/>
        <v>19770.720212069293</v>
      </c>
      <c r="J225" s="155">
        <f t="shared" si="207"/>
        <v>12911.3554714771</v>
      </c>
      <c r="K225" s="164">
        <f t="shared" si="208"/>
        <v>0.65305438208544342</v>
      </c>
      <c r="L225" s="165">
        <f t="shared" si="209"/>
        <v>20696.538790752082</v>
      </c>
      <c r="M225" s="155">
        <f t="shared" si="210"/>
        <v>20658.16875436336</v>
      </c>
      <c r="N225" s="164">
        <f t="shared" si="211"/>
        <v>0.99814606506060488</v>
      </c>
      <c r="O225" s="165">
        <f t="shared" si="212"/>
        <v>19177.246764195712</v>
      </c>
      <c r="P225" s="155">
        <f t="shared" si="213"/>
        <v>0</v>
      </c>
      <c r="Q225" s="164">
        <f t="shared" si="214"/>
        <v>0</v>
      </c>
      <c r="R225" s="165">
        <f t="shared" si="215"/>
        <v>19177.246764195712</v>
      </c>
      <c r="S225" s="155">
        <f t="shared" si="216"/>
        <v>0</v>
      </c>
      <c r="T225" s="164">
        <f t="shared" si="217"/>
        <v>0</v>
      </c>
      <c r="U225" s="165">
        <f t="shared" si="218"/>
        <v>19177.246764195712</v>
      </c>
      <c r="V225" s="155">
        <f t="shared" si="219"/>
        <v>0</v>
      </c>
      <c r="W225" s="164">
        <f t="shared" si="220"/>
        <v>0</v>
      </c>
      <c r="X225" s="165">
        <f t="shared" si="221"/>
        <v>19177.246764195712</v>
      </c>
      <c r="Y225" s="155">
        <f t="shared" si="222"/>
        <v>0</v>
      </c>
      <c r="Z225" s="164">
        <f t="shared" si="223"/>
        <v>0</v>
      </c>
      <c r="AA225" s="165">
        <f t="shared" si="224"/>
        <v>19177.246764195712</v>
      </c>
      <c r="AB225" s="155">
        <f t="shared" si="225"/>
        <v>0</v>
      </c>
      <c r="AC225" s="164">
        <f t="shared" si="226"/>
        <v>0</v>
      </c>
    </row>
    <row r="226" spans="1:29" ht="13.8" thickBot="1" x14ac:dyDescent="0.3">
      <c r="A226" s="215">
        <f t="shared" si="200"/>
        <v>0.6</v>
      </c>
      <c r="B226" s="157">
        <f t="shared" si="200"/>
        <v>14.030747346933692</v>
      </c>
      <c r="C226" s="157">
        <f t="shared" si="200"/>
        <v>18262.360611048694</v>
      </c>
      <c r="D226" s="157">
        <f t="shared" si="201"/>
        <v>4535.7330577756147</v>
      </c>
      <c r="E226" s="205">
        <f t="shared" si="202"/>
        <v>22798.093668824309</v>
      </c>
      <c r="F226" s="215">
        <f t="shared" si="203"/>
        <v>23815.140397345516</v>
      </c>
      <c r="G226" s="157">
        <f t="shared" si="204"/>
        <v>18438.69607827473</v>
      </c>
      <c r="H226" s="205">
        <f t="shared" si="205"/>
        <v>0.77424259402350382</v>
      </c>
      <c r="I226" s="215">
        <f t="shared" si="206"/>
        <v>23504.376119186258</v>
      </c>
      <c r="J226" s="157">
        <f t="shared" si="207"/>
        <v>15365.580065228942</v>
      </c>
      <c r="K226" s="205">
        <f t="shared" si="208"/>
        <v>0.65373273416460764</v>
      </c>
      <c r="L226" s="215">
        <f t="shared" si="209"/>
        <v>24606.176741750896</v>
      </c>
      <c r="M226" s="157">
        <f t="shared" si="210"/>
        <v>24584.928104366307</v>
      </c>
      <c r="N226" s="205">
        <f t="shared" si="211"/>
        <v>0.99913645107862148</v>
      </c>
      <c r="O226" s="215">
        <f t="shared" si="212"/>
        <v>22798.093668824309</v>
      </c>
      <c r="P226" s="157">
        <f t="shared" si="213"/>
        <v>0</v>
      </c>
      <c r="Q226" s="205">
        <f t="shared" si="214"/>
        <v>0</v>
      </c>
      <c r="R226" s="215">
        <f t="shared" si="215"/>
        <v>22798.093668824309</v>
      </c>
      <c r="S226" s="157">
        <f t="shared" si="216"/>
        <v>0</v>
      </c>
      <c r="T226" s="205">
        <f t="shared" si="217"/>
        <v>0</v>
      </c>
      <c r="U226" s="215">
        <f t="shared" si="218"/>
        <v>22798.093668824309</v>
      </c>
      <c r="V226" s="157">
        <f t="shared" si="219"/>
        <v>0</v>
      </c>
      <c r="W226" s="205">
        <f t="shared" si="220"/>
        <v>0</v>
      </c>
      <c r="X226" s="215">
        <f t="shared" si="221"/>
        <v>22798.093668824309</v>
      </c>
      <c r="Y226" s="157">
        <f t="shared" si="222"/>
        <v>0</v>
      </c>
      <c r="Z226" s="205">
        <f t="shared" si="223"/>
        <v>0</v>
      </c>
      <c r="AA226" s="215">
        <f t="shared" si="224"/>
        <v>22798.093668824309</v>
      </c>
      <c r="AB226" s="157">
        <f t="shared" si="225"/>
        <v>0</v>
      </c>
      <c r="AC226" s="205">
        <f t="shared" si="226"/>
        <v>0</v>
      </c>
    </row>
    <row r="227" spans="1:29" x14ac:dyDescent="0.25">
      <c r="A227" s="257"/>
      <c r="B227" s="257"/>
      <c r="C227" s="257"/>
      <c r="D227" s="257"/>
      <c r="E227" s="257"/>
      <c r="F227" s="257"/>
      <c r="G227" s="257"/>
      <c r="H227" s="257"/>
      <c r="Q227" s="148"/>
      <c r="R227" s="145"/>
      <c r="S227" s="145"/>
      <c r="T227" s="145"/>
      <c r="U227" s="145"/>
      <c r="V227" s="145"/>
      <c r="W227" s="145"/>
      <c r="X227" s="145"/>
      <c r="Y227" s="145"/>
      <c r="Z227" s="148"/>
    </row>
    <row r="228" spans="1:29" x14ac:dyDescent="0.25"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</row>
    <row r="229" spans="1:29" hidden="1" x14ac:dyDescent="0.25"/>
    <row r="230" spans="1:29" hidden="1" x14ac:dyDescent="0.25">
      <c r="A230" s="102"/>
      <c r="B230" s="102"/>
      <c r="C230" s="102"/>
      <c r="D230" s="102"/>
      <c r="E230" s="102"/>
      <c r="F230" s="102"/>
      <c r="G230" s="102"/>
      <c r="H230" s="102"/>
      <c r="I230" s="102"/>
      <c r="J230" s="102"/>
      <c r="K230" s="102"/>
      <c r="L230" s="102"/>
      <c r="M230" s="102"/>
      <c r="N230" s="102"/>
      <c r="O230" s="102"/>
      <c r="P230" s="102"/>
      <c r="Q230" s="102"/>
    </row>
    <row r="231" spans="1:29" ht="13.8" hidden="1" thickBot="1" x14ac:dyDescent="0.3"/>
    <row r="232" spans="1:29" ht="51.75" hidden="1" customHeight="1" thickBot="1" x14ac:dyDescent="0.3">
      <c r="A232" s="958" t="s">
        <v>275</v>
      </c>
      <c r="B232" s="961" t="s">
        <v>240</v>
      </c>
      <c r="C232" s="962"/>
      <c r="D232" s="963"/>
      <c r="E232" s="655" t="s">
        <v>311</v>
      </c>
    </row>
    <row r="233" spans="1:29" ht="22.5" hidden="1" customHeight="1" thickBot="1" x14ac:dyDescent="0.3">
      <c r="A233" s="959"/>
      <c r="B233" s="648" t="s">
        <v>241</v>
      </c>
      <c r="C233" s="649"/>
      <c r="D233" s="650">
        <f>'Sail Force HM''s '!H35</f>
        <v>22.493476666183142</v>
      </c>
      <c r="E233" s="679">
        <v>0.31</v>
      </c>
    </row>
    <row r="234" spans="1:29" ht="13.5" hidden="1" customHeight="1" thickBot="1" x14ac:dyDescent="0.3">
      <c r="A234" s="959"/>
      <c r="B234" s="217" t="s">
        <v>242</v>
      </c>
      <c r="C234" s="218" t="s">
        <v>243</v>
      </c>
      <c r="D234" s="219" t="s">
        <v>244</v>
      </c>
      <c r="E234" s="220" t="s">
        <v>245</v>
      </c>
    </row>
    <row r="235" spans="1:29" ht="15" hidden="1" customHeight="1" thickBot="1" x14ac:dyDescent="0.3">
      <c r="A235" s="959"/>
      <c r="B235" s="221">
        <v>0</v>
      </c>
      <c r="C235" s="222">
        <f>'Sail Force HM''s '!H27</f>
        <v>2464.2992915095028</v>
      </c>
      <c r="D235" s="680">
        <f>D237</f>
        <v>7.2492194625824071</v>
      </c>
      <c r="E235" s="223">
        <f>2*C235</f>
        <v>4928.5985830190057</v>
      </c>
    </row>
    <row r="236" spans="1:29" ht="13.5" hidden="1" customHeight="1" thickBot="1" x14ac:dyDescent="0.3">
      <c r="A236" s="959"/>
      <c r="B236" s="215">
        <f>B196</f>
        <v>14.030747346933692</v>
      </c>
      <c r="C236" s="224">
        <f>C235</f>
        <v>2464.2992915095028</v>
      </c>
      <c r="D236" s="297">
        <f>D235</f>
        <v>7.2492194625824071</v>
      </c>
      <c r="E236" s="78">
        <v>0</v>
      </c>
    </row>
    <row r="237" spans="1:29" ht="13.5" hidden="1" customHeight="1" thickBot="1" x14ac:dyDescent="0.3">
      <c r="A237" s="959"/>
      <c r="B237" s="651" t="s">
        <v>314</v>
      </c>
      <c r="C237" s="652"/>
      <c r="D237" s="653">
        <f>'Sail Force HM''s '!H19</f>
        <v>7.2492194625824071</v>
      </c>
    </row>
    <row r="238" spans="1:29" ht="27.75" hidden="1" customHeight="1" thickBot="1" x14ac:dyDescent="0.3">
      <c r="A238" s="959"/>
      <c r="B238" s="964" t="s">
        <v>246</v>
      </c>
      <c r="C238" s="965"/>
      <c r="D238" s="966"/>
      <c r="E238" s="657" t="s">
        <v>312</v>
      </c>
    </row>
    <row r="239" spans="1:29" ht="25.5" hidden="1" customHeight="1" thickBot="1" x14ac:dyDescent="0.3">
      <c r="A239" s="959"/>
      <c r="B239" s="656" t="s">
        <v>247</v>
      </c>
      <c r="C239" s="681">
        <v>3</v>
      </c>
      <c r="E239" s="679">
        <v>1</v>
      </c>
    </row>
    <row r="240" spans="1:29" ht="13.5" hidden="1" customHeight="1" thickBot="1" x14ac:dyDescent="0.3">
      <c r="A240" s="959"/>
      <c r="B240" s="191" t="s">
        <v>248</v>
      </c>
      <c r="C240" s="225"/>
      <c r="D240" s="654">
        <f>'Sail Force HM''s '!H28</f>
        <v>11392.225749103869</v>
      </c>
      <c r="E240" s="140"/>
    </row>
    <row r="241" spans="1:5" ht="12.75" hidden="1" customHeight="1" x14ac:dyDescent="0.25">
      <c r="A241" s="959"/>
      <c r="B241" s="240" t="s">
        <v>253</v>
      </c>
      <c r="C241" s="299">
        <f>B173-1</f>
        <v>3.6769157823112311</v>
      </c>
      <c r="D241" s="299">
        <f>B179+1</f>
        <v>12.692289455778077</v>
      </c>
      <c r="E241" s="967" t="s">
        <v>92</v>
      </c>
    </row>
    <row r="242" spans="1:5" ht="13.5" hidden="1" customHeight="1" thickBot="1" x14ac:dyDescent="0.3">
      <c r="A242" s="959"/>
      <c r="B242" s="241" t="s">
        <v>254</v>
      </c>
      <c r="C242" s="300">
        <f>D240</f>
        <v>11392.225749103869</v>
      </c>
      <c r="D242" s="300">
        <f>C242</f>
        <v>11392.225749103869</v>
      </c>
      <c r="E242" s="968"/>
    </row>
    <row r="243" spans="1:5" ht="24" hidden="1" customHeight="1" thickBot="1" x14ac:dyDescent="0.3">
      <c r="A243" s="959"/>
      <c r="B243" s="240" t="s">
        <v>253</v>
      </c>
      <c r="C243" s="299">
        <f>D235</f>
        <v>7.2492194625824071</v>
      </c>
      <c r="D243" s="299">
        <f>C243</f>
        <v>7.2492194625824071</v>
      </c>
      <c r="E243" s="679">
        <v>0.6</v>
      </c>
    </row>
    <row r="244" spans="1:5" ht="13.5" hidden="1" customHeight="1" thickBot="1" x14ac:dyDescent="0.3">
      <c r="A244" s="960"/>
      <c r="B244" s="241" t="s">
        <v>255</v>
      </c>
      <c r="C244" s="300">
        <v>0</v>
      </c>
      <c r="D244" s="300">
        <f>G179</f>
        <v>26301.246556743288</v>
      </c>
      <c r="E244" s="298"/>
    </row>
    <row r="245" spans="1:5" hidden="1" x14ac:dyDescent="0.25"/>
    <row r="246" spans="1:5" hidden="1" x14ac:dyDescent="0.25"/>
    <row r="247" spans="1:5" s="277" customFormat="1" hidden="1" x14ac:dyDescent="0.25"/>
    <row r="248" spans="1:5" ht="27.75" hidden="1" customHeight="1" thickBot="1" x14ac:dyDescent="0.3"/>
    <row r="249" spans="1:5" ht="51.75" hidden="1" customHeight="1" thickBot="1" x14ac:dyDescent="0.3">
      <c r="A249" s="958" t="s">
        <v>276</v>
      </c>
      <c r="B249" s="961" t="s">
        <v>240</v>
      </c>
      <c r="C249" s="962"/>
      <c r="D249" s="963"/>
      <c r="E249" s="655" t="s">
        <v>311</v>
      </c>
    </row>
    <row r="250" spans="1:5" ht="22.5" hidden="1" customHeight="1" thickBot="1" x14ac:dyDescent="0.3">
      <c r="A250" s="959"/>
      <c r="B250" s="648" t="s">
        <v>241</v>
      </c>
      <c r="C250" s="649"/>
      <c r="D250" s="650">
        <f>'Sail Force HM''s '!I35</f>
        <v>18.33418900603667</v>
      </c>
      <c r="E250" s="679">
        <v>0.32</v>
      </c>
    </row>
    <row r="251" spans="1:5" ht="13.5" hidden="1" customHeight="1" thickBot="1" x14ac:dyDescent="0.3">
      <c r="A251" s="959"/>
      <c r="B251" s="217" t="s">
        <v>242</v>
      </c>
      <c r="C251" s="218" t="s">
        <v>243</v>
      </c>
      <c r="D251" s="219" t="s">
        <v>244</v>
      </c>
      <c r="E251" s="220" t="s">
        <v>245</v>
      </c>
    </row>
    <row r="252" spans="1:5" ht="15" hidden="1" customHeight="1" thickBot="1" x14ac:dyDescent="0.3">
      <c r="A252" s="959"/>
      <c r="B252" s="221">
        <v>0</v>
      </c>
      <c r="C252" s="222">
        <f>'Sail Force HM''s '!I27</f>
        <v>2629.9673339062065</v>
      </c>
      <c r="D252" s="680">
        <f>D254</f>
        <v>7.4830652516979699</v>
      </c>
      <c r="E252" s="223">
        <f>2*C252</f>
        <v>5259.934667812413</v>
      </c>
    </row>
    <row r="253" spans="1:5" ht="13.5" hidden="1" customHeight="1" thickBot="1" x14ac:dyDescent="0.3">
      <c r="A253" s="959"/>
      <c r="B253" s="215">
        <f>B196</f>
        <v>14.030747346933692</v>
      </c>
      <c r="C253" s="224">
        <f>C252</f>
        <v>2629.9673339062065</v>
      </c>
      <c r="D253" s="297">
        <f>D252</f>
        <v>7.4830652516979699</v>
      </c>
      <c r="E253" s="78">
        <v>0</v>
      </c>
    </row>
    <row r="254" spans="1:5" ht="13.5" hidden="1" customHeight="1" thickBot="1" x14ac:dyDescent="0.3">
      <c r="A254" s="959"/>
      <c r="B254" s="651" t="s">
        <v>314</v>
      </c>
      <c r="C254" s="652"/>
      <c r="D254" s="653">
        <f>'Sail Force HM''s '!I19</f>
        <v>7.4830652516979699</v>
      </c>
    </row>
    <row r="255" spans="1:5" ht="27.75" hidden="1" customHeight="1" thickBot="1" x14ac:dyDescent="0.3">
      <c r="A255" s="959"/>
      <c r="B255" s="964" t="s">
        <v>246</v>
      </c>
      <c r="C255" s="965"/>
      <c r="D255" s="966"/>
      <c r="E255" s="657" t="s">
        <v>312</v>
      </c>
    </row>
    <row r="256" spans="1:5" ht="25.5" hidden="1" customHeight="1" thickBot="1" x14ac:dyDescent="0.3">
      <c r="A256" s="959"/>
      <c r="B256" s="656" t="s">
        <v>247</v>
      </c>
      <c r="C256" s="681">
        <v>2.5</v>
      </c>
      <c r="E256" s="679">
        <v>1</v>
      </c>
    </row>
    <row r="257" spans="1:5" ht="13.5" hidden="1" customHeight="1" thickBot="1" x14ac:dyDescent="0.3">
      <c r="A257" s="959"/>
      <c r="B257" s="191" t="s">
        <v>248</v>
      </c>
      <c r="C257" s="225"/>
      <c r="D257" s="654">
        <f>'Sail Force HM''s '!I28</f>
        <v>9353.4229161036255</v>
      </c>
      <c r="E257" s="140"/>
    </row>
    <row r="258" spans="1:5" ht="12.75" hidden="1" customHeight="1" x14ac:dyDescent="0.25">
      <c r="A258" s="959"/>
      <c r="B258" s="240" t="s">
        <v>253</v>
      </c>
      <c r="C258" s="299">
        <f>C241</f>
        <v>3.6769157823112311</v>
      </c>
      <c r="D258" s="299">
        <f>D241</f>
        <v>12.692289455778077</v>
      </c>
      <c r="E258" s="967" t="s">
        <v>92</v>
      </c>
    </row>
    <row r="259" spans="1:5" ht="13.5" hidden="1" customHeight="1" thickBot="1" x14ac:dyDescent="0.3">
      <c r="A259" s="959"/>
      <c r="B259" s="241" t="s">
        <v>254</v>
      </c>
      <c r="C259" s="300">
        <f>D257</f>
        <v>9353.4229161036255</v>
      </c>
      <c r="D259" s="300">
        <f>C259</f>
        <v>9353.4229161036255</v>
      </c>
      <c r="E259" s="968"/>
    </row>
    <row r="260" spans="1:5" ht="21" hidden="1" customHeight="1" thickBot="1" x14ac:dyDescent="0.3">
      <c r="A260" s="959"/>
      <c r="B260" s="240" t="s">
        <v>253</v>
      </c>
      <c r="C260" s="299">
        <f>D252</f>
        <v>7.4830652516979699</v>
      </c>
      <c r="D260" s="299">
        <f>C260</f>
        <v>7.4830652516979699</v>
      </c>
      <c r="E260" s="679">
        <v>0.5</v>
      </c>
    </row>
    <row r="261" spans="1:5" ht="13.5" hidden="1" customHeight="1" thickBot="1" x14ac:dyDescent="0.3">
      <c r="A261" s="960"/>
      <c r="B261" s="241" t="s">
        <v>255</v>
      </c>
      <c r="C261" s="300">
        <v>0</v>
      </c>
      <c r="D261" s="300">
        <f>J179</f>
        <v>21917.705463952741</v>
      </c>
      <c r="E261" s="298"/>
    </row>
    <row r="262" spans="1:5" ht="13.5" hidden="1" customHeight="1" x14ac:dyDescent="0.25">
      <c r="A262" s="278"/>
      <c r="B262" s="148"/>
      <c r="C262" s="148"/>
      <c r="D262" s="279"/>
    </row>
    <row r="263" spans="1:5" s="283" customFormat="1" ht="13.5" customHeight="1" x14ac:dyDescent="0.25">
      <c r="A263" s="280"/>
      <c r="B263" s="281"/>
      <c r="C263" s="281"/>
      <c r="D263" s="282"/>
    </row>
    <row r="264" spans="1:5" ht="10.5" customHeight="1" thickBot="1" x14ac:dyDescent="0.3"/>
    <row r="265" spans="1:5" ht="13.8" hidden="1" thickBot="1" x14ac:dyDescent="0.3"/>
    <row r="266" spans="1:5" ht="83.25" customHeight="1" thickBot="1" x14ac:dyDescent="0.3">
      <c r="A266" s="958" t="s">
        <v>302</v>
      </c>
      <c r="B266" s="961" t="s">
        <v>240</v>
      </c>
      <c r="C266" s="962"/>
      <c r="D266" s="963"/>
      <c r="E266" s="655" t="s">
        <v>311</v>
      </c>
    </row>
    <row r="267" spans="1:5" ht="24.75" customHeight="1" thickBot="1" x14ac:dyDescent="0.3">
      <c r="A267" s="959"/>
      <c r="B267" s="648" t="s">
        <v>241</v>
      </c>
      <c r="C267" s="649"/>
      <c r="D267" s="650">
        <f>'Sail Force HM''s '!J35</f>
        <v>21.883180196914505</v>
      </c>
      <c r="E267" s="972">
        <v>0.34</v>
      </c>
    </row>
    <row r="268" spans="1:5" ht="13.5" customHeight="1" thickBot="1" x14ac:dyDescent="0.3">
      <c r="A268" s="959"/>
      <c r="B268" s="217" t="s">
        <v>242</v>
      </c>
      <c r="C268" s="218" t="s">
        <v>243</v>
      </c>
      <c r="D268" s="219" t="s">
        <v>244</v>
      </c>
      <c r="E268" s="220" t="s">
        <v>245</v>
      </c>
    </row>
    <row r="269" spans="1:5" ht="15" customHeight="1" thickBot="1" x14ac:dyDescent="0.3">
      <c r="A269" s="959"/>
      <c r="B269" s="221">
        <v>0</v>
      </c>
      <c r="C269" s="222">
        <f>'Sail Force HM''s '!J27</f>
        <v>3914.8296350676733</v>
      </c>
      <c r="D269" s="680">
        <f>(E267*(9.81*$B$5)^0.5)/0.5144</f>
        <v>7.9507568299290927</v>
      </c>
      <c r="E269" s="223">
        <f>2*C269</f>
        <v>7829.6592701353466</v>
      </c>
    </row>
    <row r="270" spans="1:5" ht="13.5" customHeight="1" thickBot="1" x14ac:dyDescent="0.3">
      <c r="A270" s="959"/>
      <c r="B270" s="215">
        <f>B211</f>
        <v>14.030747346933692</v>
      </c>
      <c r="C270" s="224">
        <f>C269</f>
        <v>3914.8296350676733</v>
      </c>
      <c r="D270" s="297">
        <f>D269</f>
        <v>7.9507568299290927</v>
      </c>
      <c r="E270" s="78">
        <v>0</v>
      </c>
    </row>
    <row r="271" spans="1:5" ht="13.5" customHeight="1" thickBot="1" x14ac:dyDescent="0.3">
      <c r="A271" s="959"/>
      <c r="B271" s="651" t="s">
        <v>314</v>
      </c>
      <c r="C271" s="652"/>
      <c r="D271" s="653">
        <f>'Sail Force HM''s '!J19</f>
        <v>7.9507568299290927</v>
      </c>
    </row>
    <row r="272" spans="1:5" ht="27.75" customHeight="1" thickBot="1" x14ac:dyDescent="0.3">
      <c r="A272" s="959"/>
      <c r="B272" s="964" t="s">
        <v>246</v>
      </c>
      <c r="C272" s="965"/>
      <c r="D272" s="966"/>
      <c r="E272" s="657" t="s">
        <v>312</v>
      </c>
    </row>
    <row r="273" spans="1:14" ht="25.5" customHeight="1" thickBot="1" x14ac:dyDescent="0.3">
      <c r="A273" s="959"/>
      <c r="B273" s="656" t="s">
        <v>247</v>
      </c>
      <c r="C273" s="971">
        <v>4</v>
      </c>
      <c r="D273" s="975">
        <f>'Sail Force HM''s '!J35</f>
        <v>21.883180196914505</v>
      </c>
      <c r="E273" s="973">
        <v>1</v>
      </c>
    </row>
    <row r="274" spans="1:14" ht="21" customHeight="1" thickBot="1" x14ac:dyDescent="0.3">
      <c r="A274" s="959"/>
      <c r="B274" s="191" t="s">
        <v>248</v>
      </c>
      <c r="C274" s="225"/>
      <c r="D274" s="974">
        <f>'Sail Force HM''s '!J28</f>
        <v>11093.070155121432</v>
      </c>
      <c r="E274" s="976" t="s">
        <v>599</v>
      </c>
    </row>
    <row r="275" spans="1:14" ht="12.75" customHeight="1" x14ac:dyDescent="0.25">
      <c r="A275" s="959"/>
      <c r="B275" s="240" t="s">
        <v>253</v>
      </c>
      <c r="C275" s="299">
        <f>C258</f>
        <v>3.6769157823112311</v>
      </c>
      <c r="D275" s="299">
        <f>D258</f>
        <v>12.692289455778077</v>
      </c>
      <c r="E275" s="967" t="s">
        <v>92</v>
      </c>
    </row>
    <row r="276" spans="1:14" ht="13.5" customHeight="1" thickBot="1" x14ac:dyDescent="0.3">
      <c r="A276" s="959"/>
      <c r="B276" s="241" t="s">
        <v>254</v>
      </c>
      <c r="C276" s="300">
        <f>D274</f>
        <v>11093.070155121432</v>
      </c>
      <c r="D276" s="300">
        <f>C276</f>
        <v>11093.070155121432</v>
      </c>
      <c r="E276" s="968"/>
    </row>
    <row r="277" spans="1:14" ht="21" customHeight="1" thickBot="1" x14ac:dyDescent="0.3">
      <c r="A277" s="959"/>
      <c r="B277" s="240" t="s">
        <v>253</v>
      </c>
      <c r="C277" s="299">
        <f>D269</f>
        <v>7.9507568299290927</v>
      </c>
      <c r="D277" s="299">
        <f>C277</f>
        <v>7.9507568299290927</v>
      </c>
      <c r="E277" s="972">
        <v>0.6</v>
      </c>
    </row>
    <row r="278" spans="1:14" ht="13.5" customHeight="1" thickBot="1" x14ac:dyDescent="0.3">
      <c r="A278" s="960"/>
      <c r="B278" s="241" t="s">
        <v>255</v>
      </c>
      <c r="C278" s="300">
        <v>0</v>
      </c>
      <c r="D278" s="300">
        <f>M179</f>
        <v>35068.328742324382</v>
      </c>
      <c r="E278" s="298"/>
    </row>
    <row r="279" spans="1:14" ht="13.5" customHeight="1" x14ac:dyDescent="0.25">
      <c r="A279" s="278"/>
      <c r="B279" s="799"/>
      <c r="C279" s="148"/>
      <c r="D279" s="279"/>
    </row>
    <row r="280" spans="1:14" ht="13.5" customHeight="1" x14ac:dyDescent="0.25">
      <c r="A280" s="278"/>
      <c r="B280" s="148"/>
      <c r="C280" s="148"/>
      <c r="D280" s="794"/>
      <c r="E280" s="787"/>
    </row>
    <row r="281" spans="1:14" s="283" customFormat="1" hidden="1" x14ac:dyDescent="0.25">
      <c r="J281" s="281"/>
      <c r="K281" s="281"/>
      <c r="L281" s="281"/>
      <c r="M281" s="281"/>
      <c r="N281" s="281"/>
    </row>
    <row r="282" spans="1:14" ht="13.8" hidden="1" thickBot="1" x14ac:dyDescent="0.3">
      <c r="J282" s="148"/>
      <c r="K282" s="148"/>
      <c r="L282" s="148"/>
      <c r="M282" s="148"/>
      <c r="N282" s="148"/>
    </row>
    <row r="283" spans="1:14" ht="51.75" hidden="1" customHeight="1" thickBot="1" x14ac:dyDescent="0.3">
      <c r="A283" s="958"/>
      <c r="B283" s="961"/>
      <c r="C283" s="962"/>
      <c r="D283" s="963"/>
      <c r="E283" s="295"/>
    </row>
    <row r="284" spans="1:14" ht="25.5" hidden="1" customHeight="1" thickBot="1" x14ac:dyDescent="0.3">
      <c r="A284" s="959"/>
      <c r="B284" s="648"/>
      <c r="C284" s="649"/>
      <c r="D284" s="650"/>
      <c r="E284" s="679"/>
    </row>
    <row r="285" spans="1:14" ht="13.5" hidden="1" customHeight="1" thickBot="1" x14ac:dyDescent="0.3">
      <c r="A285" s="959"/>
      <c r="B285" s="217"/>
      <c r="C285" s="218"/>
      <c r="D285" s="219"/>
      <c r="E285" s="220"/>
    </row>
    <row r="286" spans="1:14" ht="15" hidden="1" customHeight="1" thickBot="1" x14ac:dyDescent="0.3">
      <c r="A286" s="959"/>
      <c r="B286" s="221"/>
      <c r="C286" s="222"/>
      <c r="D286" s="680"/>
      <c r="E286" s="223"/>
    </row>
    <row r="287" spans="1:14" ht="13.5" hidden="1" customHeight="1" thickBot="1" x14ac:dyDescent="0.3">
      <c r="A287" s="959"/>
      <c r="B287" s="215"/>
      <c r="C287" s="224"/>
      <c r="D287" s="297"/>
      <c r="E287" s="78"/>
    </row>
    <row r="288" spans="1:14" ht="13.5" hidden="1" customHeight="1" thickBot="1" x14ac:dyDescent="0.3">
      <c r="A288" s="959"/>
      <c r="B288" s="651"/>
      <c r="C288" s="652"/>
      <c r="D288" s="653"/>
    </row>
    <row r="289" spans="1:14" ht="27.75" hidden="1" customHeight="1" thickBot="1" x14ac:dyDescent="0.3">
      <c r="A289" s="959"/>
      <c r="B289" s="964"/>
      <c r="C289" s="965"/>
      <c r="D289" s="966"/>
      <c r="E289" s="658"/>
    </row>
    <row r="290" spans="1:14" ht="25.5" hidden="1" customHeight="1" thickBot="1" x14ac:dyDescent="0.3">
      <c r="A290" s="959"/>
      <c r="B290" s="294"/>
      <c r="C290" s="681"/>
      <c r="E290" s="679"/>
    </row>
    <row r="291" spans="1:14" ht="13.5" hidden="1" customHeight="1" thickBot="1" x14ac:dyDescent="0.3">
      <c r="A291" s="959"/>
      <c r="B291" s="191"/>
      <c r="C291" s="225"/>
      <c r="D291" s="654"/>
      <c r="E291" s="140"/>
    </row>
    <row r="292" spans="1:14" ht="12.75" hidden="1" customHeight="1" x14ac:dyDescent="0.25">
      <c r="A292" s="959"/>
      <c r="B292" s="240"/>
      <c r="C292" s="299"/>
      <c r="D292" s="299"/>
      <c r="E292" s="969"/>
    </row>
    <row r="293" spans="1:14" ht="13.5" hidden="1" customHeight="1" thickBot="1" x14ac:dyDescent="0.3">
      <c r="A293" s="959"/>
      <c r="B293" s="241"/>
      <c r="C293" s="300"/>
      <c r="D293" s="300"/>
      <c r="E293" s="970"/>
    </row>
    <row r="294" spans="1:14" ht="21.75" hidden="1" customHeight="1" thickBot="1" x14ac:dyDescent="0.3">
      <c r="A294" s="959"/>
      <c r="B294" s="240"/>
      <c r="C294" s="299"/>
      <c r="D294" s="299"/>
      <c r="E294" s="679"/>
    </row>
    <row r="295" spans="1:14" ht="13.5" hidden="1" customHeight="1" thickBot="1" x14ac:dyDescent="0.3">
      <c r="A295" s="960"/>
      <c r="B295" s="241"/>
      <c r="C295" s="300"/>
      <c r="D295" s="300"/>
      <c r="E295" s="298"/>
    </row>
    <row r="296" spans="1:14" hidden="1" x14ac:dyDescent="0.25">
      <c r="J296" s="148"/>
      <c r="K296" s="148"/>
      <c r="L296" s="148"/>
      <c r="M296" s="148"/>
      <c r="N296" s="148"/>
    </row>
    <row r="297" spans="1:14" s="283" customFormat="1" hidden="1" x14ac:dyDescent="0.25">
      <c r="J297" s="281"/>
      <c r="K297" s="281"/>
      <c r="L297" s="281"/>
      <c r="M297" s="281"/>
      <c r="N297" s="281"/>
    </row>
    <row r="298" spans="1:14" ht="13.8" hidden="1" thickBot="1" x14ac:dyDescent="0.3"/>
    <row r="299" spans="1:14" ht="51.75" hidden="1" customHeight="1" thickBot="1" x14ac:dyDescent="0.3">
      <c r="A299" s="958"/>
      <c r="B299" s="961"/>
      <c r="C299" s="962"/>
      <c r="D299" s="963"/>
      <c r="E299" s="655"/>
    </row>
    <row r="300" spans="1:14" ht="23.25" hidden="1" customHeight="1" thickBot="1" x14ac:dyDescent="0.3">
      <c r="A300" s="959"/>
      <c r="B300" s="648"/>
      <c r="C300" s="649"/>
      <c r="D300" s="650"/>
      <c r="E300" s="679"/>
    </row>
    <row r="301" spans="1:14" ht="17.25" hidden="1" customHeight="1" thickBot="1" x14ac:dyDescent="0.3">
      <c r="A301" s="959"/>
      <c r="B301" s="217"/>
      <c r="C301" s="218"/>
      <c r="D301" s="219"/>
      <c r="E301" s="220"/>
    </row>
    <row r="302" spans="1:14" ht="15" hidden="1" customHeight="1" thickBot="1" x14ac:dyDescent="0.3">
      <c r="A302" s="959"/>
      <c r="B302" s="221"/>
      <c r="C302" s="222"/>
      <c r="D302" s="680"/>
      <c r="E302" s="223"/>
    </row>
    <row r="303" spans="1:14" ht="13.5" hidden="1" customHeight="1" thickBot="1" x14ac:dyDescent="0.3">
      <c r="A303" s="959"/>
      <c r="B303" s="215"/>
      <c r="C303" s="224"/>
      <c r="D303" s="297"/>
      <c r="E303" s="78"/>
    </row>
    <row r="304" spans="1:14" ht="13.5" hidden="1" customHeight="1" thickBot="1" x14ac:dyDescent="0.3">
      <c r="A304" s="959"/>
      <c r="B304" s="651"/>
      <c r="C304" s="652"/>
      <c r="D304" s="653"/>
    </row>
    <row r="305" spans="1:5" ht="27.75" hidden="1" customHeight="1" thickBot="1" x14ac:dyDescent="0.3">
      <c r="A305" s="959"/>
      <c r="B305" s="964"/>
      <c r="C305" s="965"/>
      <c r="D305" s="966"/>
      <c r="E305" s="657"/>
    </row>
    <row r="306" spans="1:5" ht="25.5" hidden="1" customHeight="1" thickBot="1" x14ac:dyDescent="0.3">
      <c r="A306" s="959"/>
      <c r="B306" s="656"/>
      <c r="C306" s="681"/>
      <c r="E306" s="679"/>
    </row>
    <row r="307" spans="1:5" ht="13.5" hidden="1" customHeight="1" thickBot="1" x14ac:dyDescent="0.3">
      <c r="A307" s="959"/>
      <c r="B307" s="191"/>
      <c r="C307" s="225"/>
      <c r="D307" s="654"/>
      <c r="E307" s="140"/>
    </row>
    <row r="308" spans="1:5" ht="12.75" hidden="1" customHeight="1" x14ac:dyDescent="0.25">
      <c r="A308" s="959"/>
      <c r="B308" s="240"/>
      <c r="C308" s="299"/>
      <c r="D308" s="299"/>
      <c r="E308" s="967"/>
    </row>
    <row r="309" spans="1:5" ht="13.5" hidden="1" customHeight="1" thickBot="1" x14ac:dyDescent="0.3">
      <c r="A309" s="959"/>
      <c r="B309" s="241"/>
      <c r="C309" s="300"/>
      <c r="D309" s="300"/>
      <c r="E309" s="968"/>
    </row>
    <row r="310" spans="1:5" ht="21" hidden="1" customHeight="1" thickBot="1" x14ac:dyDescent="0.3">
      <c r="A310" s="959"/>
      <c r="B310" s="240"/>
      <c r="C310" s="299"/>
      <c r="D310" s="299"/>
      <c r="E310" s="679"/>
    </row>
    <row r="311" spans="1:5" ht="13.5" hidden="1" customHeight="1" thickBot="1" x14ac:dyDescent="0.3">
      <c r="A311" s="960"/>
      <c r="B311" s="241"/>
      <c r="C311" s="300"/>
      <c r="D311" s="300"/>
      <c r="E311" s="298"/>
    </row>
    <row r="312" spans="1:5" hidden="1" x14ac:dyDescent="0.25"/>
    <row r="313" spans="1:5" s="283" customFormat="1" hidden="1" x14ac:dyDescent="0.25"/>
    <row r="314" spans="1:5" ht="15.75" hidden="1" customHeight="1" thickBot="1" x14ac:dyDescent="0.3"/>
    <row r="315" spans="1:5" ht="51.75" hidden="1" customHeight="1" thickBot="1" x14ac:dyDescent="0.3">
      <c r="A315" s="958"/>
      <c r="B315" s="961"/>
      <c r="C315" s="962"/>
      <c r="D315" s="963"/>
      <c r="E315" s="655"/>
    </row>
    <row r="316" spans="1:5" ht="25.5" hidden="1" customHeight="1" thickBot="1" x14ac:dyDescent="0.3">
      <c r="A316" s="959"/>
      <c r="B316" s="648"/>
      <c r="C316" s="649"/>
      <c r="D316" s="650"/>
      <c r="E316" s="679"/>
    </row>
    <row r="317" spans="1:5" ht="13.5" hidden="1" customHeight="1" thickBot="1" x14ac:dyDescent="0.3">
      <c r="A317" s="959"/>
      <c r="B317" s="217"/>
      <c r="C317" s="218"/>
      <c r="D317" s="219"/>
      <c r="E317" s="220"/>
    </row>
    <row r="318" spans="1:5" ht="15" hidden="1" customHeight="1" thickBot="1" x14ac:dyDescent="0.3">
      <c r="A318" s="959"/>
      <c r="B318" s="221"/>
      <c r="C318" s="222"/>
      <c r="D318" s="680"/>
      <c r="E318" s="223"/>
    </row>
    <row r="319" spans="1:5" ht="13.5" hidden="1" customHeight="1" thickBot="1" x14ac:dyDescent="0.3">
      <c r="A319" s="959"/>
      <c r="B319" s="215"/>
      <c r="C319" s="224"/>
      <c r="D319" s="297"/>
      <c r="E319" s="78"/>
    </row>
    <row r="320" spans="1:5" ht="13.5" hidden="1" customHeight="1" thickBot="1" x14ac:dyDescent="0.3">
      <c r="A320" s="959"/>
      <c r="B320" s="651"/>
      <c r="C320" s="652"/>
      <c r="D320" s="653"/>
    </row>
    <row r="321" spans="1:5" ht="27.75" hidden="1" customHeight="1" thickBot="1" x14ac:dyDescent="0.3">
      <c r="A321" s="959"/>
      <c r="B321" s="964"/>
      <c r="C321" s="965"/>
      <c r="D321" s="966"/>
      <c r="E321" s="657"/>
    </row>
    <row r="322" spans="1:5" ht="25.5" hidden="1" customHeight="1" thickBot="1" x14ac:dyDescent="0.3">
      <c r="A322" s="959"/>
      <c r="B322" s="656"/>
      <c r="C322" s="681"/>
      <c r="E322" s="679"/>
    </row>
    <row r="323" spans="1:5" ht="13.5" hidden="1" customHeight="1" thickBot="1" x14ac:dyDescent="0.3">
      <c r="A323" s="959"/>
      <c r="B323" s="191"/>
      <c r="C323" s="225"/>
      <c r="D323" s="654"/>
      <c r="E323" s="140"/>
    </row>
    <row r="324" spans="1:5" ht="12.75" hidden="1" customHeight="1" x14ac:dyDescent="0.25">
      <c r="A324" s="959"/>
      <c r="B324" s="240"/>
      <c r="C324" s="299"/>
      <c r="D324" s="299"/>
      <c r="E324" s="967"/>
    </row>
    <row r="325" spans="1:5" ht="13.5" hidden="1" customHeight="1" thickBot="1" x14ac:dyDescent="0.3">
      <c r="A325" s="959"/>
      <c r="B325" s="241"/>
      <c r="C325" s="300"/>
      <c r="D325" s="300"/>
      <c r="E325" s="968"/>
    </row>
    <row r="326" spans="1:5" ht="22.5" hidden="1" customHeight="1" thickBot="1" x14ac:dyDescent="0.3">
      <c r="A326" s="959"/>
      <c r="B326" s="240"/>
      <c r="C326" s="299"/>
      <c r="D326" s="299"/>
      <c r="E326" s="679"/>
    </row>
    <row r="327" spans="1:5" ht="13.5" hidden="1" customHeight="1" thickBot="1" x14ac:dyDescent="0.3">
      <c r="A327" s="960"/>
      <c r="B327" s="241"/>
      <c r="C327" s="300"/>
      <c r="D327" s="300"/>
      <c r="E327" s="298"/>
    </row>
    <row r="328" spans="1:5" hidden="1" x14ac:dyDescent="0.25"/>
    <row r="329" spans="1:5" s="283" customFormat="1" hidden="1" x14ac:dyDescent="0.25"/>
    <row r="330" spans="1:5" hidden="1" x14ac:dyDescent="0.25"/>
    <row r="331" spans="1:5" ht="13.8" hidden="1" thickBot="1" x14ac:dyDescent="0.3"/>
    <row r="332" spans="1:5" ht="51.75" hidden="1" customHeight="1" thickBot="1" x14ac:dyDescent="0.3">
      <c r="A332" s="958"/>
      <c r="B332" s="961"/>
      <c r="C332" s="962"/>
      <c r="D332" s="963"/>
      <c r="E332" s="655"/>
    </row>
    <row r="333" spans="1:5" ht="24.75" hidden="1" customHeight="1" thickBot="1" x14ac:dyDescent="0.3">
      <c r="A333" s="959"/>
      <c r="B333" s="648"/>
      <c r="C333" s="649"/>
      <c r="D333" s="650"/>
      <c r="E333" s="679"/>
    </row>
    <row r="334" spans="1:5" ht="13.5" hidden="1" customHeight="1" thickBot="1" x14ac:dyDescent="0.3">
      <c r="A334" s="959"/>
      <c r="B334" s="217"/>
      <c r="C334" s="218"/>
      <c r="D334" s="219"/>
      <c r="E334" s="220"/>
    </row>
    <row r="335" spans="1:5" ht="15" hidden="1" customHeight="1" thickBot="1" x14ac:dyDescent="0.3">
      <c r="A335" s="959"/>
      <c r="B335" s="221"/>
      <c r="C335" s="222"/>
      <c r="D335" s="680"/>
      <c r="E335" s="223"/>
    </row>
    <row r="336" spans="1:5" ht="13.5" hidden="1" customHeight="1" thickBot="1" x14ac:dyDescent="0.3">
      <c r="A336" s="959"/>
      <c r="B336" s="215"/>
      <c r="C336" s="224"/>
      <c r="D336" s="297"/>
      <c r="E336" s="78"/>
    </row>
    <row r="337" spans="1:14" ht="13.5" hidden="1" customHeight="1" thickBot="1" x14ac:dyDescent="0.3">
      <c r="A337" s="959"/>
      <c r="B337" s="651"/>
      <c r="C337" s="652"/>
      <c r="D337" s="653"/>
    </row>
    <row r="338" spans="1:14" ht="27.75" hidden="1" customHeight="1" thickBot="1" x14ac:dyDescent="0.3">
      <c r="A338" s="959"/>
      <c r="B338" s="964"/>
      <c r="C338" s="965"/>
      <c r="D338" s="966"/>
      <c r="E338" s="657"/>
    </row>
    <row r="339" spans="1:14" ht="25.5" hidden="1" customHeight="1" thickBot="1" x14ac:dyDescent="0.3">
      <c r="A339" s="959"/>
      <c r="B339" s="656"/>
      <c r="C339" s="681"/>
      <c r="E339" s="679"/>
    </row>
    <row r="340" spans="1:14" ht="13.5" hidden="1" customHeight="1" thickBot="1" x14ac:dyDescent="0.3">
      <c r="A340" s="959"/>
      <c r="B340" s="191"/>
      <c r="C340" s="225"/>
      <c r="D340" s="654"/>
      <c r="E340" s="140"/>
    </row>
    <row r="341" spans="1:14" ht="12.75" hidden="1" customHeight="1" x14ac:dyDescent="0.25">
      <c r="A341" s="959"/>
      <c r="B341" s="240"/>
      <c r="C341" s="299"/>
      <c r="D341" s="299"/>
      <c r="E341" s="967"/>
    </row>
    <row r="342" spans="1:14" ht="13.5" hidden="1" customHeight="1" thickBot="1" x14ac:dyDescent="0.3">
      <c r="A342" s="959"/>
      <c r="B342" s="241"/>
      <c r="C342" s="300"/>
      <c r="D342" s="300"/>
      <c r="E342" s="968"/>
    </row>
    <row r="343" spans="1:14" ht="21" hidden="1" customHeight="1" thickBot="1" x14ac:dyDescent="0.3">
      <c r="A343" s="959"/>
      <c r="B343" s="240"/>
      <c r="C343" s="299"/>
      <c r="D343" s="299"/>
      <c r="E343" s="679"/>
    </row>
    <row r="344" spans="1:14" ht="13.5" hidden="1" customHeight="1" thickBot="1" x14ac:dyDescent="0.3">
      <c r="A344" s="960"/>
      <c r="B344" s="241"/>
      <c r="C344" s="300"/>
      <c r="D344" s="300"/>
      <c r="E344" s="298"/>
      <c r="J344" s="148"/>
      <c r="K344" s="148"/>
      <c r="L344" s="148"/>
      <c r="M344" s="148"/>
      <c r="N344" s="148"/>
    </row>
    <row r="345" spans="1:14" hidden="1" x14ac:dyDescent="0.25">
      <c r="J345" s="148"/>
      <c r="K345" s="148"/>
      <c r="L345" s="148"/>
      <c r="M345" s="148"/>
      <c r="N345" s="148"/>
    </row>
    <row r="346" spans="1:14" s="283" customFormat="1" hidden="1" x14ac:dyDescent="0.25">
      <c r="J346" s="281"/>
      <c r="K346" s="281"/>
      <c r="L346" s="281"/>
      <c r="M346" s="281"/>
      <c r="N346" s="281"/>
    </row>
    <row r="347" spans="1:14" ht="13.8" hidden="1" thickBot="1" x14ac:dyDescent="0.3">
      <c r="J347" s="148"/>
      <c r="K347" s="148"/>
      <c r="L347" s="148"/>
      <c r="M347" s="148"/>
      <c r="N347" s="148"/>
    </row>
    <row r="348" spans="1:14" ht="51.75" hidden="1" customHeight="1" thickBot="1" x14ac:dyDescent="0.3">
      <c r="A348" s="958"/>
      <c r="B348" s="961"/>
      <c r="C348" s="962"/>
      <c r="D348" s="963"/>
      <c r="E348" s="655"/>
      <c r="J348" s="148"/>
      <c r="K348" s="148"/>
      <c r="L348" s="148"/>
      <c r="M348" s="148"/>
      <c r="N348" s="148"/>
    </row>
    <row r="349" spans="1:14" ht="20.25" hidden="1" customHeight="1" thickBot="1" x14ac:dyDescent="0.3">
      <c r="A349" s="959"/>
      <c r="B349" s="648"/>
      <c r="C349" s="649"/>
      <c r="D349" s="650"/>
      <c r="E349" s="679"/>
      <c r="J349" s="148"/>
      <c r="K349" s="148"/>
      <c r="L349" s="148"/>
      <c r="M349" s="148"/>
      <c r="N349" s="148"/>
    </row>
    <row r="350" spans="1:14" ht="13.5" hidden="1" customHeight="1" thickBot="1" x14ac:dyDescent="0.3">
      <c r="A350" s="959"/>
      <c r="B350" s="217"/>
      <c r="C350" s="218"/>
      <c r="D350" s="219"/>
      <c r="E350" s="220"/>
      <c r="J350" s="148"/>
      <c r="K350" s="148"/>
      <c r="L350" s="148"/>
      <c r="M350" s="148"/>
      <c r="N350" s="148"/>
    </row>
    <row r="351" spans="1:14" ht="15" hidden="1" customHeight="1" thickBot="1" x14ac:dyDescent="0.3">
      <c r="A351" s="959"/>
      <c r="B351" s="221"/>
      <c r="C351" s="222"/>
      <c r="D351" s="680"/>
      <c r="E351" s="223"/>
      <c r="J351" s="148"/>
      <c r="K351" s="148"/>
      <c r="L351" s="148"/>
      <c r="M351" s="148"/>
      <c r="N351" s="148"/>
    </row>
    <row r="352" spans="1:14" ht="13.5" hidden="1" customHeight="1" thickBot="1" x14ac:dyDescent="0.3">
      <c r="A352" s="959"/>
      <c r="B352" s="215"/>
      <c r="C352" s="224"/>
      <c r="D352" s="297"/>
      <c r="E352" s="78"/>
      <c r="J352" s="148"/>
      <c r="K352" s="148"/>
      <c r="L352" s="148"/>
      <c r="M352" s="148"/>
      <c r="N352" s="148"/>
    </row>
    <row r="353" spans="1:14" ht="13.5" hidden="1" customHeight="1" thickBot="1" x14ac:dyDescent="0.3">
      <c r="A353" s="959"/>
      <c r="B353" s="651"/>
      <c r="C353" s="652"/>
      <c r="D353" s="653"/>
      <c r="J353" s="148"/>
      <c r="K353" s="148"/>
      <c r="L353" s="148"/>
      <c r="M353" s="148"/>
      <c r="N353" s="148"/>
    </row>
    <row r="354" spans="1:14" ht="27.75" hidden="1" customHeight="1" thickBot="1" x14ac:dyDescent="0.3">
      <c r="A354" s="959"/>
      <c r="B354" s="964"/>
      <c r="C354" s="965"/>
      <c r="D354" s="966"/>
      <c r="E354" s="657"/>
      <c r="J354" s="148"/>
      <c r="K354" s="148"/>
      <c r="L354" s="148"/>
      <c r="M354" s="148"/>
      <c r="N354" s="148"/>
    </row>
    <row r="355" spans="1:14" ht="25.5" hidden="1" customHeight="1" thickBot="1" x14ac:dyDescent="0.3">
      <c r="A355" s="959"/>
      <c r="B355" s="656"/>
      <c r="C355" s="681"/>
      <c r="E355" s="679"/>
      <c r="J355" s="148"/>
      <c r="K355" s="148"/>
      <c r="L355" s="148"/>
      <c r="M355" s="148"/>
      <c r="N355" s="148"/>
    </row>
    <row r="356" spans="1:14" ht="13.5" hidden="1" customHeight="1" thickBot="1" x14ac:dyDescent="0.3">
      <c r="A356" s="959"/>
      <c r="B356" s="191"/>
      <c r="C356" s="225"/>
      <c r="D356" s="654"/>
      <c r="E356" s="140"/>
      <c r="J356" s="148"/>
      <c r="K356" s="148"/>
      <c r="L356" s="148"/>
      <c r="M356" s="148"/>
      <c r="N356" s="148"/>
    </row>
    <row r="357" spans="1:14" ht="12.75" hidden="1" customHeight="1" x14ac:dyDescent="0.25">
      <c r="A357" s="959"/>
      <c r="B357" s="240"/>
      <c r="C357" s="299"/>
      <c r="D357" s="299"/>
      <c r="E357" s="967"/>
      <c r="J357" s="148"/>
      <c r="K357" s="148"/>
      <c r="L357" s="148"/>
      <c r="M357" s="148"/>
      <c r="N357" s="148"/>
    </row>
    <row r="358" spans="1:14" ht="13.5" hidden="1" customHeight="1" thickBot="1" x14ac:dyDescent="0.3">
      <c r="A358" s="959"/>
      <c r="B358" s="241"/>
      <c r="C358" s="300"/>
      <c r="D358" s="300"/>
      <c r="E358" s="968"/>
      <c r="J358" s="148"/>
      <c r="K358" s="148"/>
      <c r="L358" s="148"/>
      <c r="M358" s="148"/>
      <c r="N358" s="148"/>
    </row>
    <row r="359" spans="1:14" ht="21" hidden="1" customHeight="1" thickBot="1" x14ac:dyDescent="0.3">
      <c r="A359" s="959"/>
      <c r="B359" s="240"/>
      <c r="C359" s="299"/>
      <c r="D359" s="299"/>
      <c r="E359" s="679"/>
      <c r="J359" s="148"/>
      <c r="K359" s="148"/>
      <c r="L359" s="148"/>
      <c r="M359" s="148"/>
      <c r="N359" s="148"/>
    </row>
    <row r="360" spans="1:14" ht="13.5" hidden="1" customHeight="1" thickBot="1" x14ac:dyDescent="0.3">
      <c r="A360" s="960"/>
      <c r="B360" s="241"/>
      <c r="C360" s="300"/>
      <c r="D360" s="300"/>
      <c r="E360" s="298"/>
      <c r="J360" s="148"/>
      <c r="K360" s="148"/>
      <c r="L360" s="148"/>
      <c r="M360" s="148"/>
      <c r="N360" s="148"/>
    </row>
    <row r="361" spans="1:14" hidden="1" x14ac:dyDescent="0.25">
      <c r="J361" s="148"/>
      <c r="K361" s="148"/>
      <c r="L361" s="148"/>
      <c r="M361" s="148"/>
      <c r="N361" s="148"/>
    </row>
    <row r="362" spans="1:14" s="283" customFormat="1" hidden="1" x14ac:dyDescent="0.25"/>
    <row r="365" spans="1:14" x14ac:dyDescent="0.25">
      <c r="B365" s="787"/>
      <c r="C365" s="787"/>
      <c r="D365" s="787"/>
      <c r="E365" s="787"/>
      <c r="F365" s="787"/>
      <c r="G365" s="787"/>
      <c r="K365"/>
      <c r="L365"/>
    </row>
    <row r="366" spans="1:14" x14ac:dyDescent="0.25">
      <c r="C366" s="786"/>
      <c r="D366" s="786"/>
      <c r="E366" s="23"/>
      <c r="F366" s="23"/>
      <c r="G366" s="23"/>
      <c r="I366" s="786"/>
      <c r="J366" s="791"/>
      <c r="K366"/>
      <c r="L366"/>
    </row>
    <row r="367" spans="1:14" x14ac:dyDescent="0.25">
      <c r="C367" s="786"/>
      <c r="D367" s="786"/>
      <c r="I367" s="786"/>
      <c r="J367" s="791"/>
      <c r="K367" s="786"/>
    </row>
    <row r="368" spans="1:14" x14ac:dyDescent="0.25">
      <c r="C368" s="786"/>
      <c r="D368" s="786"/>
      <c r="I368" s="786"/>
      <c r="J368" s="791"/>
      <c r="K368" s="786"/>
    </row>
    <row r="369" spans="3:11" x14ac:dyDescent="0.25">
      <c r="C369" s="786"/>
      <c r="D369" s="786"/>
      <c r="I369" s="786"/>
      <c r="J369" s="791"/>
      <c r="K369" s="786"/>
    </row>
    <row r="370" spans="3:11" x14ac:dyDescent="0.25">
      <c r="C370" s="786"/>
      <c r="D370" s="786"/>
      <c r="I370" s="786"/>
      <c r="J370" s="791"/>
      <c r="K370" s="786"/>
    </row>
    <row r="371" spans="3:11" x14ac:dyDescent="0.25">
      <c r="C371" s="786"/>
      <c r="D371" s="786"/>
      <c r="I371" s="786"/>
      <c r="J371" s="791"/>
      <c r="K371" s="786"/>
    </row>
    <row r="372" spans="3:11" x14ac:dyDescent="0.25">
      <c r="C372" s="786"/>
      <c r="D372" s="786"/>
      <c r="I372" s="786"/>
      <c r="J372" s="791"/>
      <c r="K372" s="786"/>
    </row>
    <row r="373" spans="3:11" x14ac:dyDescent="0.25">
      <c r="C373" s="786"/>
      <c r="D373" s="786"/>
      <c r="E373" s="23"/>
      <c r="F373" s="23"/>
      <c r="G373" s="23"/>
    </row>
    <row r="374" spans="3:11" x14ac:dyDescent="0.25">
      <c r="C374" s="786"/>
      <c r="D374" s="786"/>
    </row>
    <row r="375" spans="3:11" x14ac:dyDescent="0.25">
      <c r="C375" s="786"/>
      <c r="D375" s="786"/>
    </row>
    <row r="376" spans="3:11" x14ac:dyDescent="0.25">
      <c r="C376" s="786"/>
      <c r="D376" s="786"/>
    </row>
    <row r="377" spans="3:11" x14ac:dyDescent="0.25">
      <c r="C377" s="786"/>
      <c r="D377" s="786"/>
    </row>
    <row r="378" spans="3:11" x14ac:dyDescent="0.25">
      <c r="C378" s="786"/>
      <c r="D378" s="786"/>
    </row>
    <row r="379" spans="3:11" x14ac:dyDescent="0.25">
      <c r="C379" s="786"/>
      <c r="D379" s="786"/>
    </row>
    <row r="380" spans="3:11" x14ac:dyDescent="0.25">
      <c r="C380" s="786"/>
      <c r="D380" s="786"/>
      <c r="E380" s="23"/>
      <c r="F380" s="23"/>
      <c r="G380" s="788"/>
    </row>
    <row r="381" spans="3:11" x14ac:dyDescent="0.25">
      <c r="C381" s="786"/>
      <c r="D381" s="786"/>
    </row>
    <row r="382" spans="3:11" x14ac:dyDescent="0.25">
      <c r="C382" s="786"/>
      <c r="D382" s="786"/>
    </row>
    <row r="383" spans="3:11" x14ac:dyDescent="0.25">
      <c r="C383" s="786"/>
      <c r="D383" s="786"/>
    </row>
    <row r="384" spans="3:11" x14ac:dyDescent="0.25">
      <c r="C384" s="786"/>
      <c r="D384" s="786"/>
    </row>
    <row r="385" spans="3:8" x14ac:dyDescent="0.25">
      <c r="C385" s="786"/>
      <c r="D385" s="786"/>
    </row>
    <row r="386" spans="3:8" x14ac:dyDescent="0.25">
      <c r="C386" s="786"/>
      <c r="D386" s="786"/>
    </row>
    <row r="387" spans="3:8" x14ac:dyDescent="0.25">
      <c r="C387" s="786"/>
      <c r="D387" s="786"/>
      <c r="E387" s="23"/>
      <c r="F387" s="23"/>
      <c r="G387" s="23"/>
    </row>
    <row r="388" spans="3:8" x14ac:dyDescent="0.25">
      <c r="C388" s="786"/>
      <c r="D388" s="786"/>
    </row>
    <row r="389" spans="3:8" x14ac:dyDescent="0.25">
      <c r="C389" s="786"/>
      <c r="D389" s="786"/>
    </row>
    <row r="390" spans="3:8" x14ac:dyDescent="0.25">
      <c r="C390" s="786"/>
      <c r="D390" s="786"/>
    </row>
    <row r="391" spans="3:8" x14ac:dyDescent="0.25">
      <c r="C391" s="786"/>
      <c r="D391" s="786"/>
    </row>
    <row r="392" spans="3:8" x14ac:dyDescent="0.25">
      <c r="C392" s="786"/>
      <c r="D392" s="786"/>
    </row>
    <row r="393" spans="3:8" x14ac:dyDescent="0.25">
      <c r="C393" s="786"/>
      <c r="D393" s="786"/>
    </row>
    <row r="396" spans="3:8" x14ac:dyDescent="0.25">
      <c r="D396" s="787"/>
      <c r="E396" s="787"/>
      <c r="F396" s="787"/>
      <c r="G396" s="787"/>
      <c r="H396"/>
    </row>
    <row r="397" spans="3:8" x14ac:dyDescent="0.25">
      <c r="H397" s="789"/>
    </row>
    <row r="398" spans="3:8" x14ac:dyDescent="0.25">
      <c r="H398" s="789"/>
    </row>
    <row r="399" spans="3:8" x14ac:dyDescent="0.25">
      <c r="H399" s="789"/>
    </row>
    <row r="400" spans="3:8" x14ac:dyDescent="0.25">
      <c r="H400" s="789"/>
    </row>
    <row r="402" spans="2:10" x14ac:dyDescent="0.25">
      <c r="D402" s="786"/>
      <c r="H402" s="789"/>
      <c r="I402" s="789"/>
      <c r="J402" s="790"/>
    </row>
    <row r="403" spans="2:10" x14ac:dyDescent="0.25">
      <c r="H403" s="789"/>
    </row>
    <row r="404" spans="2:10" x14ac:dyDescent="0.25">
      <c r="B404" s="787"/>
      <c r="C404" s="787"/>
      <c r="D404" s="787"/>
      <c r="E404" s="787"/>
      <c r="F404" s="787"/>
      <c r="G404" s="787"/>
    </row>
    <row r="405" spans="2:10" x14ac:dyDescent="0.25">
      <c r="C405" s="786"/>
      <c r="D405" s="786"/>
      <c r="E405" s="23"/>
      <c r="F405" s="23"/>
      <c r="G405" s="23"/>
      <c r="I405" s="786"/>
    </row>
    <row r="406" spans="2:10" x14ac:dyDescent="0.25">
      <c r="C406" s="786"/>
      <c r="D406" s="786"/>
      <c r="I406" s="786"/>
    </row>
    <row r="407" spans="2:10" x14ac:dyDescent="0.25">
      <c r="C407" s="786"/>
      <c r="D407" s="786"/>
      <c r="I407" s="786"/>
    </row>
    <row r="408" spans="2:10" x14ac:dyDescent="0.25">
      <c r="C408" s="786"/>
      <c r="D408" s="786"/>
      <c r="I408" s="786"/>
    </row>
    <row r="409" spans="2:10" x14ac:dyDescent="0.25">
      <c r="C409" s="786"/>
      <c r="D409" s="786"/>
      <c r="I409" s="786"/>
    </row>
    <row r="410" spans="2:10" x14ac:dyDescent="0.25">
      <c r="C410" s="786"/>
      <c r="D410" s="786"/>
      <c r="I410" s="786"/>
    </row>
    <row r="411" spans="2:10" x14ac:dyDescent="0.25">
      <c r="C411" s="786"/>
      <c r="D411" s="786"/>
      <c r="I411" s="786"/>
    </row>
    <row r="412" spans="2:10" x14ac:dyDescent="0.25">
      <c r="C412" s="786"/>
      <c r="D412" s="786"/>
      <c r="E412" s="23"/>
      <c r="F412" s="23"/>
      <c r="G412" s="23"/>
    </row>
    <row r="413" spans="2:10" x14ac:dyDescent="0.25">
      <c r="C413" s="786"/>
      <c r="D413" s="786"/>
    </row>
    <row r="414" spans="2:10" x14ac:dyDescent="0.25">
      <c r="C414" s="786"/>
      <c r="D414" s="786"/>
    </row>
    <row r="415" spans="2:10" x14ac:dyDescent="0.25">
      <c r="C415" s="786"/>
      <c r="D415" s="786"/>
    </row>
    <row r="416" spans="2:10" x14ac:dyDescent="0.25">
      <c r="C416" s="786"/>
      <c r="D416" s="786"/>
    </row>
    <row r="417" spans="3:7" x14ac:dyDescent="0.25">
      <c r="C417" s="786"/>
      <c r="D417" s="786"/>
    </row>
    <row r="418" spans="3:7" x14ac:dyDescent="0.25">
      <c r="C418" s="786"/>
      <c r="D418" s="786"/>
    </row>
    <row r="419" spans="3:7" x14ac:dyDescent="0.25">
      <c r="C419" s="786"/>
      <c r="D419" s="786"/>
      <c r="E419" s="23"/>
      <c r="F419" s="23"/>
      <c r="G419" s="23"/>
    </row>
    <row r="420" spans="3:7" x14ac:dyDescent="0.25">
      <c r="C420" s="786"/>
      <c r="D420" s="786"/>
    </row>
    <row r="421" spans="3:7" x14ac:dyDescent="0.25">
      <c r="C421" s="786"/>
      <c r="D421" s="786"/>
    </row>
    <row r="422" spans="3:7" x14ac:dyDescent="0.25">
      <c r="C422" s="786"/>
      <c r="D422" s="786"/>
    </row>
    <row r="423" spans="3:7" x14ac:dyDescent="0.25">
      <c r="C423" s="786"/>
      <c r="D423" s="786"/>
    </row>
    <row r="424" spans="3:7" x14ac:dyDescent="0.25">
      <c r="C424" s="786"/>
      <c r="D424" s="786"/>
    </row>
    <row r="425" spans="3:7" x14ac:dyDescent="0.25">
      <c r="C425" s="786"/>
      <c r="D425" s="786"/>
    </row>
    <row r="426" spans="3:7" x14ac:dyDescent="0.25">
      <c r="C426" s="786"/>
      <c r="D426" s="786"/>
      <c r="E426" s="23"/>
      <c r="F426" s="23"/>
      <c r="G426" s="23"/>
    </row>
    <row r="427" spans="3:7" x14ac:dyDescent="0.25">
      <c r="C427" s="786"/>
      <c r="D427" s="786"/>
    </row>
    <row r="428" spans="3:7" x14ac:dyDescent="0.25">
      <c r="C428" s="786"/>
      <c r="D428" s="786"/>
    </row>
    <row r="429" spans="3:7" x14ac:dyDescent="0.25">
      <c r="C429" s="786"/>
      <c r="D429" s="786"/>
    </row>
    <row r="430" spans="3:7" x14ac:dyDescent="0.25">
      <c r="C430" s="786"/>
      <c r="D430" s="786"/>
    </row>
    <row r="431" spans="3:7" x14ac:dyDescent="0.25">
      <c r="C431" s="786"/>
      <c r="D431" s="786"/>
    </row>
    <row r="432" spans="3:7" x14ac:dyDescent="0.25">
      <c r="C432" s="786"/>
      <c r="D432" s="786"/>
    </row>
    <row r="435" spans="4:18" x14ac:dyDescent="0.25">
      <c r="D435" s="787"/>
      <c r="E435" s="787"/>
      <c r="F435" s="787"/>
      <c r="G435" s="787"/>
      <c r="H435"/>
    </row>
    <row r="436" spans="4:18" x14ac:dyDescent="0.25">
      <c r="I436" s="23"/>
    </row>
    <row r="437" spans="4:18" x14ac:dyDescent="0.25">
      <c r="H437" s="792"/>
    </row>
    <row r="438" spans="4:18" x14ac:dyDescent="0.25">
      <c r="H438" s="792"/>
    </row>
    <row r="439" spans="4:18" x14ac:dyDescent="0.25">
      <c r="H439" s="792"/>
    </row>
    <row r="440" spans="4:18" x14ac:dyDescent="0.25">
      <c r="H440" s="792"/>
    </row>
    <row r="441" spans="4:18" x14ac:dyDescent="0.25">
      <c r="D441" s="786"/>
      <c r="H441" s="792"/>
      <c r="I441" s="786"/>
    </row>
    <row r="442" spans="4:18" x14ac:dyDescent="0.25">
      <c r="D442" s="786"/>
    </row>
    <row r="447" spans="4:18" ht="13.8" thickBot="1" x14ac:dyDescent="0.3"/>
    <row r="448" spans="4:18" ht="13.8" thickBot="1" x14ac:dyDescent="0.3">
      <c r="O448" s="946" t="s">
        <v>249</v>
      </c>
      <c r="P448" s="947"/>
      <c r="Q448" s="947"/>
      <c r="R448" s="948"/>
    </row>
    <row r="449" spans="13:18" ht="13.8" thickBot="1" x14ac:dyDescent="0.3">
      <c r="M449" s="226" t="s">
        <v>183</v>
      </c>
      <c r="N449" s="227" t="s">
        <v>250</v>
      </c>
      <c r="O449" s="107" t="s">
        <v>251</v>
      </c>
      <c r="P449" s="107" t="s">
        <v>252</v>
      </c>
      <c r="Q449" s="107" t="s">
        <v>231</v>
      </c>
      <c r="R449" s="197" t="s">
        <v>232</v>
      </c>
    </row>
    <row r="450" spans="13:18" x14ac:dyDescent="0.25">
      <c r="M450" s="228">
        <f t="shared" ref="M450:N455" si="227">A173</f>
        <v>0.2</v>
      </c>
      <c r="N450" s="229">
        <f t="shared" si="227"/>
        <v>4.6769157823112311</v>
      </c>
      <c r="O450" s="230">
        <f t="shared" ref="O450:O455" si="228">G173</f>
        <v>4208.1994490789257</v>
      </c>
      <c r="P450" s="230">
        <f t="shared" ref="P450:P455" si="229">G188</f>
        <v>3820.1295294982019</v>
      </c>
      <c r="Q450" s="230">
        <f t="shared" ref="Q450:Q455" si="230">G203</f>
        <v>3074.3722014542609</v>
      </c>
      <c r="R450" s="231">
        <f t="shared" ref="R450:R455" si="231">G218</f>
        <v>2048.7440086971924</v>
      </c>
    </row>
    <row r="451" spans="13:18" x14ac:dyDescent="0.25">
      <c r="M451" s="228">
        <f t="shared" si="227"/>
        <v>0.25</v>
      </c>
      <c r="N451" s="229">
        <f t="shared" si="227"/>
        <v>5.8461447278890386</v>
      </c>
      <c r="O451" s="230">
        <f t="shared" si="228"/>
        <v>6575.3116391858221</v>
      </c>
      <c r="P451" s="230">
        <f t="shared" si="229"/>
        <v>5968.9523898409407</v>
      </c>
      <c r="Q451" s="230">
        <f t="shared" si="230"/>
        <v>4803.7065647722829</v>
      </c>
      <c r="R451" s="231">
        <f t="shared" si="231"/>
        <v>3201.1625135893628</v>
      </c>
    </row>
    <row r="452" spans="13:18" x14ac:dyDescent="0.25">
      <c r="M452" s="228">
        <f t="shared" si="227"/>
        <v>0.3</v>
      </c>
      <c r="N452" s="229">
        <f t="shared" si="227"/>
        <v>7.0153736734668461</v>
      </c>
      <c r="O452" s="230">
        <f t="shared" si="228"/>
        <v>9468.4487604275819</v>
      </c>
      <c r="P452" s="230">
        <f t="shared" si="229"/>
        <v>8595.291441370955</v>
      </c>
      <c r="Q452" s="230">
        <f t="shared" si="230"/>
        <v>6917.3374532720873</v>
      </c>
      <c r="R452" s="231">
        <f t="shared" si="231"/>
        <v>4609.6740195686825</v>
      </c>
    </row>
    <row r="453" spans="13:18" x14ac:dyDescent="0.25">
      <c r="M453" s="228">
        <f t="shared" si="227"/>
        <v>0.35</v>
      </c>
      <c r="N453" s="229">
        <f t="shared" si="227"/>
        <v>8.1846026190446537</v>
      </c>
      <c r="O453" s="230">
        <f t="shared" si="228"/>
        <v>12887.610812804209</v>
      </c>
      <c r="P453" s="230">
        <f t="shared" si="229"/>
        <v>11699.14668408824</v>
      </c>
      <c r="Q453" s="230">
        <f t="shared" si="230"/>
        <v>9415.2648669536738</v>
      </c>
      <c r="R453" s="231">
        <f t="shared" si="231"/>
        <v>6274.2785266351511</v>
      </c>
    </row>
    <row r="454" spans="13:18" x14ac:dyDescent="0.25">
      <c r="M454" s="232">
        <f t="shared" si="227"/>
        <v>0.4</v>
      </c>
      <c r="N454" s="233">
        <f t="shared" si="227"/>
        <v>9.3538315646224621</v>
      </c>
      <c r="O454" s="234">
        <f t="shared" si="228"/>
        <v>16832.797796315703</v>
      </c>
      <c r="P454" s="234">
        <f t="shared" si="229"/>
        <v>15280.518117992808</v>
      </c>
      <c r="Q454" s="234">
        <f t="shared" si="230"/>
        <v>12297.488805817044</v>
      </c>
      <c r="R454" s="235">
        <f t="shared" si="231"/>
        <v>8194.9760347887695</v>
      </c>
    </row>
    <row r="455" spans="13:18" ht="13.8" thickBot="1" x14ac:dyDescent="0.3">
      <c r="M455" s="236">
        <f t="shared" si="227"/>
        <v>0.45</v>
      </c>
      <c r="N455" s="237">
        <f t="shared" si="227"/>
        <v>10.523060510200271</v>
      </c>
      <c r="O455" s="238">
        <f t="shared" si="228"/>
        <v>21304.009710962066</v>
      </c>
      <c r="P455" s="238">
        <f t="shared" si="229"/>
        <v>19339.405743084651</v>
      </c>
      <c r="Q455" s="238">
        <f t="shared" si="230"/>
        <v>15564.009269862197</v>
      </c>
      <c r="R455" s="239">
        <f t="shared" si="231"/>
        <v>10371.766544029539</v>
      </c>
    </row>
  </sheetData>
  <sheetProtection selectLockedCells="1"/>
  <mergeCells count="43">
    <mergeCell ref="E357:E358"/>
    <mergeCell ref="E258:E259"/>
    <mergeCell ref="E275:E276"/>
    <mergeCell ref="E292:E293"/>
    <mergeCell ref="E308:E309"/>
    <mergeCell ref="E324:E325"/>
    <mergeCell ref="A332:A344"/>
    <mergeCell ref="B332:D332"/>
    <mergeCell ref="B338:D338"/>
    <mergeCell ref="A266:A278"/>
    <mergeCell ref="E341:E342"/>
    <mergeCell ref="O104:T105"/>
    <mergeCell ref="V104:AA105"/>
    <mergeCell ref="A315:A327"/>
    <mergeCell ref="B315:D315"/>
    <mergeCell ref="B321:D321"/>
    <mergeCell ref="B266:D266"/>
    <mergeCell ref="B272:D272"/>
    <mergeCell ref="B238:D238"/>
    <mergeCell ref="A249:A261"/>
    <mergeCell ref="B249:D249"/>
    <mergeCell ref="O136:T137"/>
    <mergeCell ref="V136:AA137"/>
    <mergeCell ref="A299:A311"/>
    <mergeCell ref="B299:D299"/>
    <mergeCell ref="B305:D305"/>
    <mergeCell ref="B283:D283"/>
    <mergeCell ref="O448:R448"/>
    <mergeCell ref="A62:C62"/>
    <mergeCell ref="A85:B85"/>
    <mergeCell ref="A104:F105"/>
    <mergeCell ref="H104:M105"/>
    <mergeCell ref="A283:A295"/>
    <mergeCell ref="A232:A244"/>
    <mergeCell ref="B232:D232"/>
    <mergeCell ref="B289:D289"/>
    <mergeCell ref="A136:F137"/>
    <mergeCell ref="H136:M137"/>
    <mergeCell ref="E241:E242"/>
    <mergeCell ref="A348:A360"/>
    <mergeCell ref="B348:D348"/>
    <mergeCell ref="B354:D354"/>
    <mergeCell ref="B255:D255"/>
  </mergeCells>
  <phoneticPr fontId="3" type="noConversion"/>
  <pageMargins left="0.74803149606299213" right="0.74803149606299213" top="0.98425196850393704" bottom="0.98425196850393704" header="0.51181102362204722" footer="0.51181102362204722"/>
  <pageSetup paperSize="9" scale="1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7" r:id="rId4" name="Button 39">
              <controlPr defaultSize="0" print="0" autoFill="0" autoPict="0" macro="[0]!sborare">
                <anchor moveWithCells="1" sizeWithCells="1">
                  <from>
                    <xdr:col>5</xdr:col>
                    <xdr:colOff>60960</xdr:colOff>
                    <xdr:row>278</xdr:row>
                    <xdr:rowOff>60960</xdr:rowOff>
                  </from>
                  <to>
                    <xdr:col>5</xdr:col>
                    <xdr:colOff>1630680</xdr:colOff>
                    <xdr:row>365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'Initial Boat Data'!$B$12:$B$24</xm:f>
          </x14:formula1>
          <xm:sqref>E280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P47"/>
  <sheetViews>
    <sheetView topLeftCell="A7" workbookViewId="0">
      <selection activeCell="D9" sqref="D9"/>
    </sheetView>
  </sheetViews>
  <sheetFormatPr defaultRowHeight="13.2" x14ac:dyDescent="0.25"/>
  <cols>
    <col min="2" max="2" width="3.44140625" customWidth="1"/>
    <col min="3" max="3" width="19" customWidth="1"/>
    <col min="4" max="4" width="16.88671875" customWidth="1"/>
    <col min="6" max="6" width="23.88671875" customWidth="1"/>
    <col min="7" max="7" width="12.6640625" customWidth="1"/>
    <col min="8" max="9" width="18.33203125" customWidth="1"/>
    <col min="16" max="16" width="5.88671875" customWidth="1"/>
  </cols>
  <sheetData>
    <row r="2" spans="2:16" ht="13.8" thickBot="1" x14ac:dyDescent="0.3"/>
    <row r="3" spans="2:16" ht="13.8" thickBot="1" x14ac:dyDescent="0.3">
      <c r="B3" s="703"/>
      <c r="C3" s="704"/>
      <c r="D3" s="704"/>
      <c r="E3" s="704"/>
      <c r="F3" s="704"/>
      <c r="G3" s="704"/>
      <c r="H3" s="704"/>
      <c r="I3" s="704"/>
      <c r="J3" s="704"/>
      <c r="K3" s="704"/>
      <c r="L3" s="704"/>
      <c r="M3" s="704"/>
      <c r="N3" s="704"/>
      <c r="O3" s="704"/>
      <c r="P3" s="705"/>
    </row>
    <row r="4" spans="2:16" ht="13.8" thickBot="1" x14ac:dyDescent="0.3">
      <c r="B4" s="706"/>
      <c r="C4" s="726" t="s">
        <v>399</v>
      </c>
      <c r="D4" s="713"/>
      <c r="E4" s="687"/>
      <c r="F4" s="687"/>
      <c r="G4" s="687"/>
      <c r="H4" s="687"/>
      <c r="I4" s="687"/>
      <c r="J4" s="687"/>
      <c r="K4" s="687"/>
      <c r="L4" s="687"/>
      <c r="M4" s="687"/>
      <c r="N4" s="687"/>
      <c r="O4" s="687"/>
      <c r="P4" s="707"/>
    </row>
    <row r="5" spans="2:16" ht="13.8" thickBot="1" x14ac:dyDescent="0.3">
      <c r="B5" s="706"/>
      <c r="C5" s="687"/>
      <c r="D5" s="687"/>
      <c r="E5" s="687"/>
      <c r="F5" s="687"/>
      <c r="G5" s="687"/>
      <c r="H5" s="687"/>
      <c r="I5" s="687"/>
      <c r="J5" s="687"/>
      <c r="K5" s="687"/>
      <c r="L5" s="687"/>
      <c r="M5" s="687"/>
      <c r="N5" s="687"/>
      <c r="O5" s="687"/>
      <c r="P5" s="707"/>
    </row>
    <row r="6" spans="2:16" ht="13.8" thickBot="1" x14ac:dyDescent="0.3">
      <c r="B6" s="706"/>
      <c r="C6" s="712" t="s">
        <v>307</v>
      </c>
      <c r="D6" s="714"/>
      <c r="E6" s="715">
        <f>'Sail Force HM''s '!$C$4</f>
        <v>16</v>
      </c>
      <c r="F6" s="713" t="s">
        <v>308</v>
      </c>
      <c r="G6" s="687"/>
      <c r="H6" s="687"/>
      <c r="I6" s="687"/>
      <c r="J6" s="687"/>
      <c r="K6" s="687"/>
      <c r="L6" s="687"/>
      <c r="M6" s="687"/>
      <c r="N6" s="687"/>
      <c r="O6" s="687"/>
      <c r="P6" s="707"/>
    </row>
    <row r="7" spans="2:16" ht="13.8" thickBot="1" x14ac:dyDescent="0.3">
      <c r="B7" s="706"/>
      <c r="C7" s="687"/>
      <c r="D7" s="687"/>
      <c r="E7" s="687"/>
      <c r="F7" s="687"/>
      <c r="G7" s="687"/>
      <c r="H7" s="687"/>
      <c r="I7" s="687"/>
      <c r="J7" s="687"/>
      <c r="K7" s="687"/>
      <c r="L7" s="687"/>
      <c r="M7" s="687"/>
      <c r="N7" s="687"/>
      <c r="O7" s="687"/>
      <c r="P7" s="707"/>
    </row>
    <row r="8" spans="2:16" ht="13.8" thickBot="1" x14ac:dyDescent="0.3">
      <c r="B8" s="706"/>
      <c r="C8" s="716" t="s">
        <v>97</v>
      </c>
      <c r="D8" s="717">
        <f>'Sail Force HM''s '!J7</f>
        <v>45</v>
      </c>
      <c r="E8" s="686"/>
      <c r="F8" s="716" t="str">
        <f>'Hull RM''s'!I10</f>
        <v>STABILITY DATA</v>
      </c>
      <c r="G8" s="717"/>
      <c r="H8" s="687"/>
      <c r="I8" s="687"/>
      <c r="J8" s="687"/>
      <c r="K8" s="686"/>
      <c r="L8" s="687"/>
      <c r="M8" s="687"/>
      <c r="N8" s="687"/>
      <c r="O8" s="687"/>
      <c r="P8" s="707"/>
    </row>
    <row r="9" spans="2:16" x14ac:dyDescent="0.25">
      <c r="B9" s="706"/>
      <c r="C9" s="688" t="s">
        <v>309</v>
      </c>
      <c r="D9" s="689">
        <f>'Sail Force HM''s '!J19</f>
        <v>7.9507568299290927</v>
      </c>
      <c r="E9" s="690"/>
      <c r="F9" s="688" t="str">
        <f>'Hull RM''s'!I11</f>
        <v>KG total from DWL (m)</v>
      </c>
      <c r="G9" s="689">
        <f>'Hull RM''s'!J11</f>
        <v>-0.24332346597467311</v>
      </c>
      <c r="H9" s="687"/>
      <c r="I9" s="687"/>
      <c r="J9" s="687"/>
      <c r="K9" s="690"/>
      <c r="L9" s="708"/>
      <c r="M9" s="687"/>
      <c r="N9" s="687"/>
      <c r="O9" s="687"/>
      <c r="P9" s="707"/>
    </row>
    <row r="10" spans="2:16" x14ac:dyDescent="0.25">
      <c r="B10" s="706"/>
      <c r="C10" s="691" t="s">
        <v>136</v>
      </c>
      <c r="D10" s="692">
        <f>'Sail Force HM''s '!J35</f>
        <v>21.883180196914505</v>
      </c>
      <c r="E10" s="690"/>
      <c r="F10" s="691" t="str">
        <f>'Hull RM''s'!I12</f>
        <v>KB from DWL (m)</v>
      </c>
      <c r="G10" s="692">
        <f>'Hull RM''s'!J12</f>
        <v>-0.24117523082799955</v>
      </c>
      <c r="H10" s="687"/>
      <c r="I10" s="687"/>
      <c r="J10" s="687"/>
      <c r="K10" s="690"/>
      <c r="L10" s="708"/>
      <c r="M10" s="687"/>
      <c r="N10" s="687"/>
      <c r="O10" s="687"/>
      <c r="P10" s="707"/>
    </row>
    <row r="11" spans="2:16" x14ac:dyDescent="0.25">
      <c r="B11" s="706"/>
      <c r="C11" s="691" t="s">
        <v>247</v>
      </c>
      <c r="D11" s="693">
        <f>'Speed &amp; Leeway Predictor'!C273</f>
        <v>4</v>
      </c>
      <c r="E11" s="686"/>
      <c r="F11" s="691" t="str">
        <f>'Hull RM''s'!I13</f>
        <v>BM  trans (m)</v>
      </c>
      <c r="G11" s="692">
        <f>'Hull RM''s'!J13</f>
        <v>2.1228998677429742</v>
      </c>
      <c r="H11" s="687"/>
      <c r="I11" s="687"/>
      <c r="J11" s="687"/>
      <c r="K11" s="686"/>
      <c r="L11" s="687"/>
      <c r="M11" s="687"/>
      <c r="N11" s="687"/>
      <c r="O11" s="687"/>
      <c r="P11" s="707"/>
    </row>
    <row r="12" spans="2:16" ht="13.8" thickBot="1" x14ac:dyDescent="0.3">
      <c r="B12" s="706"/>
      <c r="C12" s="691" t="s">
        <v>90</v>
      </c>
      <c r="D12" s="693">
        <f>'Sail Force HM''s '!J8</f>
        <v>1</v>
      </c>
      <c r="E12" s="686"/>
      <c r="F12" s="694" t="str">
        <f>'Hull RM''s'!I14</f>
        <v>GM</v>
      </c>
      <c r="G12" s="695">
        <f>'Hull RM''s'!J14</f>
        <v>2.125048102889648</v>
      </c>
      <c r="H12" s="687"/>
      <c r="I12" s="687"/>
      <c r="J12" s="687"/>
      <c r="K12" s="686"/>
      <c r="L12" s="687"/>
      <c r="M12" s="687"/>
      <c r="N12" s="687"/>
      <c r="O12" s="687"/>
      <c r="P12" s="707"/>
    </row>
    <row r="13" spans="2:16" ht="13.8" thickBot="1" x14ac:dyDescent="0.3">
      <c r="B13" s="706"/>
      <c r="C13" s="691" t="s">
        <v>92</v>
      </c>
      <c r="D13" s="693">
        <f>'Sail Force HM''s '!J9</f>
        <v>0.6</v>
      </c>
      <c r="E13" s="686"/>
      <c r="F13" s="687"/>
      <c r="G13" s="722"/>
      <c r="H13" s="687"/>
      <c r="I13" s="687"/>
      <c r="J13" s="687"/>
      <c r="K13" s="686"/>
      <c r="L13" s="687"/>
      <c r="M13" s="687"/>
      <c r="N13" s="687"/>
      <c r="O13" s="687"/>
      <c r="P13" s="707"/>
    </row>
    <row r="14" spans="2:16" ht="13.8" thickBot="1" x14ac:dyDescent="0.3">
      <c r="B14" s="706"/>
      <c r="C14" s="694" t="s">
        <v>310</v>
      </c>
      <c r="D14" s="695">
        <f>D9*COS(PI()*D8/180)</f>
        <v>5.6220340700081195</v>
      </c>
      <c r="E14" s="690"/>
      <c r="F14" s="723" t="str">
        <f>'Sail Force HM''s '!B44</f>
        <v>SAD Ratio</v>
      </c>
      <c r="G14" s="724">
        <f>'Sail Force HM''s '!C44</f>
        <v>24.727639726290416</v>
      </c>
      <c r="H14" s="687"/>
      <c r="I14" s="687"/>
      <c r="J14" s="687"/>
      <c r="K14" s="690"/>
      <c r="L14" s="687"/>
      <c r="M14" s="687"/>
      <c r="N14" s="687"/>
      <c r="O14" s="687"/>
      <c r="P14" s="707"/>
    </row>
    <row r="15" spans="2:16" ht="13.8" thickBot="1" x14ac:dyDescent="0.3">
      <c r="B15" s="706"/>
      <c r="C15" s="687"/>
      <c r="D15" s="687"/>
      <c r="E15" s="687"/>
      <c r="F15" s="687"/>
      <c r="G15" s="687"/>
      <c r="H15" s="687"/>
      <c r="I15" s="687"/>
      <c r="J15" s="687"/>
      <c r="K15" s="687"/>
      <c r="L15" s="687"/>
      <c r="M15" s="687"/>
      <c r="N15" s="687"/>
      <c r="O15" s="687"/>
      <c r="P15" s="707"/>
    </row>
    <row r="16" spans="2:16" ht="13.8" thickBot="1" x14ac:dyDescent="0.3">
      <c r="B16" s="706"/>
      <c r="C16" s="718" t="str">
        <f>'Hull RM''s'!I22</f>
        <v>Heel Angle Degrees</v>
      </c>
      <c r="D16" s="719" t="str">
        <f>'Hull RM''s'!N22</f>
        <v>Righting Moment</v>
      </c>
      <c r="E16" s="687"/>
      <c r="F16" s="716" t="s">
        <v>398</v>
      </c>
      <c r="G16" s="717"/>
      <c r="H16" s="687"/>
      <c r="I16" s="687"/>
      <c r="J16" s="687"/>
      <c r="K16" s="687"/>
      <c r="L16" s="687"/>
      <c r="M16" s="687"/>
      <c r="N16" s="687"/>
      <c r="O16" s="687"/>
      <c r="P16" s="707"/>
    </row>
    <row r="17" spans="2:16" ht="13.8" thickBot="1" x14ac:dyDescent="0.3">
      <c r="B17" s="706"/>
      <c r="C17" s="720" t="s">
        <v>228</v>
      </c>
      <c r="D17" s="721" t="str">
        <f>'Hull RM''s'!N23</f>
        <v>kNm</v>
      </c>
      <c r="E17" s="687"/>
      <c r="F17" s="725" t="str">
        <f>'Hull RM''s'!C24</f>
        <v>Area Midships       (m2)</v>
      </c>
      <c r="G17" s="701">
        <f>'Hull RM''s'!D24</f>
        <v>1.8859903050749565</v>
      </c>
      <c r="H17" s="687"/>
      <c r="I17" s="687"/>
      <c r="J17" s="687"/>
      <c r="K17" s="687"/>
      <c r="L17" s="687"/>
      <c r="M17" s="687"/>
      <c r="N17" s="687"/>
      <c r="O17" s="687"/>
      <c r="P17" s="707"/>
    </row>
    <row r="18" spans="2:16" x14ac:dyDescent="0.25">
      <c r="B18" s="706"/>
      <c r="C18" s="696">
        <f>'Hull RM''s'!I24</f>
        <v>0</v>
      </c>
      <c r="D18" s="697">
        <f>'Hull RM''s'!N24</f>
        <v>0</v>
      </c>
      <c r="E18" s="687"/>
      <c r="F18" s="691" t="str">
        <f>'Hull RM''s'!C25</f>
        <v>Canoe Body Draft   (m)</v>
      </c>
      <c r="G18" s="692">
        <f>'Hull RM''s'!D25</f>
        <v>0.68907208807999876</v>
      </c>
      <c r="H18" s="687"/>
      <c r="I18" s="687"/>
      <c r="J18" s="687"/>
      <c r="K18" s="687"/>
      <c r="L18" s="687"/>
      <c r="M18" s="687"/>
      <c r="N18" s="687"/>
      <c r="O18" s="687"/>
      <c r="P18" s="707"/>
    </row>
    <row r="19" spans="2:16" x14ac:dyDescent="0.25">
      <c r="B19" s="706"/>
      <c r="C19" s="698">
        <f>'Hull RM''s'!I25</f>
        <v>2</v>
      </c>
      <c r="D19" s="699">
        <f>'Hull RM''s'!N25</f>
        <v>12.72419582109679</v>
      </c>
      <c r="E19" s="687"/>
      <c r="F19" s="691" t="str">
        <f>'Hull RM''s'!C26</f>
        <v>Area of Waterplane (m2)</v>
      </c>
      <c r="G19" s="692">
        <f>'Hull RM''s'!D26</f>
        <v>38.69214094270113</v>
      </c>
      <c r="H19" s="687"/>
      <c r="I19" s="687"/>
      <c r="J19" s="687"/>
      <c r="K19" s="687"/>
      <c r="L19" s="687"/>
      <c r="M19" s="687"/>
      <c r="N19" s="687"/>
      <c r="O19" s="687"/>
      <c r="P19" s="707"/>
    </row>
    <row r="20" spans="2:16" x14ac:dyDescent="0.25">
      <c r="B20" s="706"/>
      <c r="C20" s="698">
        <f>'Hull RM''s'!I26</f>
        <v>4</v>
      </c>
      <c r="D20" s="699">
        <f>'Hull RM''s'!N26</f>
        <v>25.386400639184888</v>
      </c>
      <c r="E20" s="687"/>
      <c r="F20" s="691" t="str">
        <f>'Hull RM''s'!C27</f>
        <v>Canoe Body WSA  (m2)</v>
      </c>
      <c r="G20" s="692">
        <f>'Hull RM''s'!D27</f>
        <v>43.484113919701294</v>
      </c>
      <c r="H20" s="687"/>
      <c r="I20" s="687"/>
      <c r="J20" s="687"/>
      <c r="K20" s="687"/>
      <c r="L20" s="687"/>
      <c r="M20" s="687"/>
      <c r="N20" s="687"/>
      <c r="O20" s="687"/>
      <c r="P20" s="707"/>
    </row>
    <row r="21" spans="2:16" x14ac:dyDescent="0.25">
      <c r="B21" s="706"/>
      <c r="C21" s="698">
        <f>'Hull RM''s'!I27</f>
        <v>6</v>
      </c>
      <c r="D21" s="699">
        <f>'Hull RM''s'!N27</f>
        <v>37.924925465190938</v>
      </c>
      <c r="E21" s="687"/>
      <c r="F21" s="691" t="str">
        <f>'Hull RM''s'!C28</f>
        <v xml:space="preserve">Waterplane Coefficient </v>
      </c>
      <c r="G21" s="692">
        <f>'Hull RM''s'!D28</f>
        <v>0.67089411665353738</v>
      </c>
      <c r="H21" s="687"/>
      <c r="I21" s="687"/>
      <c r="J21" s="687"/>
      <c r="K21" s="687"/>
      <c r="L21" s="687"/>
      <c r="M21" s="687"/>
      <c r="N21" s="687"/>
      <c r="O21" s="687"/>
      <c r="P21" s="707"/>
    </row>
    <row r="22" spans="2:16" x14ac:dyDescent="0.25">
      <c r="B22" s="706"/>
      <c r="C22" s="698">
        <f>'Hull RM''s'!I28</f>
        <v>8</v>
      </c>
      <c r="D22" s="699">
        <f>'Hull RM''s'!N28</f>
        <v>50.27868386653077</v>
      </c>
      <c r="E22" s="687"/>
      <c r="F22" s="691" t="str">
        <f>'Hull RM''s'!C29</f>
        <v>Transverse 2nd Mom of Area</v>
      </c>
      <c r="G22" s="692">
        <f>'Hull RM''s'!D29</f>
        <v>33.071128381659385</v>
      </c>
      <c r="H22" s="687"/>
      <c r="I22" s="687"/>
      <c r="J22" s="687"/>
      <c r="K22" s="687"/>
      <c r="L22" s="687"/>
      <c r="M22" s="687"/>
      <c r="N22" s="687"/>
      <c r="O22" s="687"/>
      <c r="P22" s="707"/>
    </row>
    <row r="23" spans="2:16" x14ac:dyDescent="0.25">
      <c r="B23" s="706"/>
      <c r="C23" s="698">
        <f>'Hull RM''s'!I29</f>
        <v>10</v>
      </c>
      <c r="D23" s="699">
        <f>'Hull RM''s'!N29</f>
        <v>62.387489574068482</v>
      </c>
      <c r="E23" s="687"/>
      <c r="F23" s="691" t="str">
        <f>'Hull RM''s'!C30</f>
        <v>BM (trans)</v>
      </c>
      <c r="G23" s="692">
        <f>'Hull RM''s'!D30</f>
        <v>2.1228998677429742</v>
      </c>
      <c r="H23" s="687"/>
      <c r="I23" s="687"/>
      <c r="J23" s="687"/>
      <c r="K23" s="687"/>
      <c r="L23" s="687"/>
      <c r="M23" s="687"/>
      <c r="N23" s="687"/>
      <c r="O23" s="687"/>
      <c r="P23" s="707"/>
    </row>
    <row r="24" spans="2:16" ht="13.8" thickBot="1" x14ac:dyDescent="0.3">
      <c r="B24" s="706"/>
      <c r="C24" s="698">
        <f>'Hull RM''s'!I30</f>
        <v>12</v>
      </c>
      <c r="D24" s="699">
        <f>'Hull RM''s'!N30</f>
        <v>74.19234970356986</v>
      </c>
      <c r="E24" s="687"/>
      <c r="F24" s="694" t="str">
        <f>'Hull RM''s'!C31</f>
        <v>kB (from dwl) 35% of Draft</v>
      </c>
      <c r="G24" s="695">
        <f>'Hull RM''s'!D31</f>
        <v>-0.24117523082799955</v>
      </c>
      <c r="H24" s="687"/>
      <c r="I24" s="687"/>
      <c r="J24" s="687"/>
      <c r="K24" s="687"/>
      <c r="L24" s="687"/>
      <c r="M24" s="687"/>
      <c r="N24" s="687"/>
      <c r="O24" s="687"/>
      <c r="P24" s="707"/>
    </row>
    <row r="25" spans="2:16" x14ac:dyDescent="0.25">
      <c r="B25" s="706"/>
      <c r="C25" s="698">
        <f>'Hull RM''s'!I31</f>
        <v>14</v>
      </c>
      <c r="D25" s="699">
        <f>'Hull RM''s'!N31</f>
        <v>85.635752163104357</v>
      </c>
      <c r="E25" s="687"/>
      <c r="F25" s="687"/>
      <c r="G25" s="687"/>
      <c r="H25" s="687"/>
      <c r="I25" s="687"/>
      <c r="J25" s="687"/>
      <c r="K25" s="687"/>
      <c r="L25" s="687"/>
      <c r="M25" s="687"/>
      <c r="N25" s="687"/>
      <c r="O25" s="687"/>
      <c r="P25" s="707"/>
    </row>
    <row r="26" spans="2:16" x14ac:dyDescent="0.25">
      <c r="B26" s="706"/>
      <c r="C26" s="698">
        <f>'Hull RM''s'!I32</f>
        <v>16</v>
      </c>
      <c r="D26" s="699">
        <f>'Hull RM''s'!N32</f>
        <v>96.661945846175925</v>
      </c>
      <c r="E26" s="687"/>
      <c r="F26" s="687"/>
      <c r="G26" s="687"/>
      <c r="H26" s="687"/>
      <c r="I26" s="687"/>
      <c r="J26" s="687"/>
      <c r="K26" s="687"/>
      <c r="L26" s="687"/>
      <c r="M26" s="687"/>
      <c r="N26" s="687"/>
      <c r="O26" s="687"/>
      <c r="P26" s="707"/>
    </row>
    <row r="27" spans="2:16" x14ac:dyDescent="0.25">
      <c r="B27" s="706"/>
      <c r="C27" s="698">
        <f>'Hull RM''s'!I33</f>
        <v>18</v>
      </c>
      <c r="D27" s="699">
        <f>'Hull RM''s'!N33</f>
        <v>107.21721224550971</v>
      </c>
      <c r="E27" s="687"/>
      <c r="F27" s="687"/>
      <c r="G27" s="687"/>
      <c r="H27" s="687"/>
      <c r="I27" s="687"/>
      <c r="J27" s="687"/>
      <c r="K27" s="687"/>
      <c r="L27" s="687"/>
      <c r="M27" s="687"/>
      <c r="N27" s="687"/>
      <c r="O27" s="687"/>
      <c r="P27" s="707"/>
    </row>
    <row r="28" spans="2:16" x14ac:dyDescent="0.25">
      <c r="B28" s="706"/>
      <c r="C28" s="698">
        <f>'Hull RM''s'!I34</f>
        <v>20</v>
      </c>
      <c r="D28" s="699">
        <f>'Hull RM''s'!N34</f>
        <v>117.25012716421989</v>
      </c>
      <c r="E28" s="687"/>
      <c r="F28" s="687"/>
      <c r="G28" s="687"/>
      <c r="H28" s="687"/>
      <c r="I28" s="687"/>
      <c r="J28" s="687"/>
      <c r="K28" s="687"/>
      <c r="L28" s="687"/>
      <c r="M28" s="687"/>
      <c r="N28" s="687"/>
      <c r="O28" s="687"/>
      <c r="P28" s="707"/>
    </row>
    <row r="29" spans="2:16" x14ac:dyDescent="0.25">
      <c r="B29" s="706"/>
      <c r="C29" s="698">
        <f>'Hull RM''s'!I35</f>
        <v>22</v>
      </c>
      <c r="D29" s="699">
        <f>'Hull RM''s'!N35</f>
        <v>126.71181124932757</v>
      </c>
      <c r="E29" s="687"/>
      <c r="F29" s="687"/>
      <c r="G29" s="687"/>
      <c r="H29" s="687"/>
      <c r="I29" s="687"/>
      <c r="J29" s="687"/>
      <c r="K29" s="687"/>
      <c r="L29" s="687"/>
      <c r="M29" s="687"/>
      <c r="N29" s="687"/>
      <c r="O29" s="687"/>
      <c r="P29" s="707"/>
    </row>
    <row r="30" spans="2:16" x14ac:dyDescent="0.25">
      <c r="B30" s="706"/>
      <c r="C30" s="698">
        <f>'Hull RM''s'!I36</f>
        <v>24</v>
      </c>
      <c r="D30" s="699">
        <f>'Hull RM''s'!N36</f>
        <v>135.5561681270552</v>
      </c>
      <c r="E30" s="687"/>
      <c r="F30" s="687"/>
      <c r="G30" s="687"/>
      <c r="H30" s="687"/>
      <c r="I30" s="687"/>
      <c r="J30" s="687"/>
      <c r="K30" s="687"/>
      <c r="L30" s="687"/>
      <c r="M30" s="687"/>
      <c r="N30" s="687"/>
      <c r="O30" s="687"/>
      <c r="P30" s="707"/>
    </row>
    <row r="31" spans="2:16" x14ac:dyDescent="0.25">
      <c r="B31" s="706"/>
      <c r="C31" s="698">
        <f>'Hull RM''s'!I37</f>
        <v>26</v>
      </c>
      <c r="D31" s="699">
        <f>'Hull RM''s'!N37</f>
        <v>143.74010897972624</v>
      </c>
      <c r="E31" s="687"/>
      <c r="F31" s="687"/>
      <c r="G31" s="687"/>
      <c r="H31" s="687"/>
      <c r="I31" s="687"/>
      <c r="J31" s="687"/>
      <c r="K31" s="687"/>
      <c r="L31" s="687"/>
      <c r="M31" s="687"/>
      <c r="N31" s="687"/>
      <c r="O31" s="687"/>
      <c r="P31" s="707"/>
    </row>
    <row r="32" spans="2:16" x14ac:dyDescent="0.25">
      <c r="B32" s="706"/>
      <c r="C32" s="698">
        <f>'Hull RM''s'!I38</f>
        <v>28</v>
      </c>
      <c r="D32" s="699">
        <f>'Hull RM''s'!N38</f>
        <v>151.2237624701533</v>
      </c>
      <c r="E32" s="687"/>
      <c r="F32" s="687"/>
      <c r="G32" s="687"/>
      <c r="H32" s="687"/>
      <c r="I32" s="687"/>
      <c r="J32" s="687"/>
      <c r="K32" s="687"/>
      <c r="L32" s="687"/>
      <c r="M32" s="687"/>
      <c r="N32" s="687"/>
      <c r="O32" s="687"/>
      <c r="P32" s="707"/>
    </row>
    <row r="33" spans="2:16" x14ac:dyDescent="0.25">
      <c r="B33" s="706"/>
      <c r="C33" s="698">
        <f>'Hull RM''s'!I39</f>
        <v>30</v>
      </c>
      <c r="D33" s="699">
        <f>'Hull RM''s'!N39</f>
        <v>157.97066899078513</v>
      </c>
      <c r="E33" s="687"/>
      <c r="F33" s="687"/>
      <c r="G33" s="687"/>
      <c r="H33" s="687"/>
      <c r="I33" s="687"/>
      <c r="J33" s="687"/>
      <c r="K33" s="687"/>
      <c r="L33" s="687"/>
      <c r="M33" s="687"/>
      <c r="N33" s="687"/>
      <c r="O33" s="687"/>
      <c r="P33" s="707"/>
    </row>
    <row r="34" spans="2:16" ht="13.8" thickBot="1" x14ac:dyDescent="0.3">
      <c r="B34" s="706"/>
      <c r="C34" s="687"/>
      <c r="D34" s="687"/>
      <c r="E34" s="687"/>
      <c r="F34" s="687"/>
      <c r="G34" s="687"/>
      <c r="H34" s="687"/>
      <c r="I34" s="687"/>
      <c r="J34" s="687"/>
      <c r="K34" s="687"/>
      <c r="L34" s="687"/>
      <c r="M34" s="687"/>
      <c r="N34" s="687"/>
      <c r="O34" s="687"/>
      <c r="P34" s="707"/>
    </row>
    <row r="35" spans="2:16" x14ac:dyDescent="0.25">
      <c r="B35" s="706"/>
      <c r="C35" s="700" t="s">
        <v>396</v>
      </c>
      <c r="D35" s="701">
        <f>'Sail Force HM''s '!J33</f>
        <v>126.48095227040918</v>
      </c>
      <c r="E35" s="687"/>
      <c r="F35" s="687"/>
      <c r="G35" s="687"/>
      <c r="H35" s="687"/>
      <c r="I35" s="687"/>
      <c r="J35" s="687"/>
      <c r="K35" s="687"/>
      <c r="L35" s="687"/>
      <c r="M35" s="687"/>
      <c r="N35" s="687"/>
      <c r="O35" s="687"/>
      <c r="P35" s="707"/>
    </row>
    <row r="36" spans="2:16" ht="13.8" thickBot="1" x14ac:dyDescent="0.3">
      <c r="B36" s="706"/>
      <c r="C36" s="702" t="s">
        <v>397</v>
      </c>
      <c r="D36" s="695">
        <f>D10</f>
        <v>21.883180196914505</v>
      </c>
      <c r="E36" s="687"/>
      <c r="F36" s="687"/>
      <c r="G36" s="687"/>
      <c r="H36" s="687"/>
      <c r="I36" s="687"/>
      <c r="J36" s="687"/>
      <c r="K36" s="687"/>
      <c r="L36" s="687"/>
      <c r="M36" s="687"/>
      <c r="N36" s="687"/>
      <c r="O36" s="687"/>
      <c r="P36" s="707"/>
    </row>
    <row r="37" spans="2:16" ht="13.8" thickBot="1" x14ac:dyDescent="0.3">
      <c r="B37" s="709"/>
      <c r="C37" s="710"/>
      <c r="D37" s="710"/>
      <c r="E37" s="710"/>
      <c r="F37" s="710"/>
      <c r="G37" s="710"/>
      <c r="H37" s="710"/>
      <c r="I37" s="710"/>
      <c r="J37" s="710"/>
      <c r="K37" s="710"/>
      <c r="L37" s="710"/>
      <c r="M37" s="710"/>
      <c r="N37" s="710"/>
      <c r="O37" s="710"/>
      <c r="P37" s="711"/>
    </row>
    <row r="43" spans="2:16" x14ac:dyDescent="0.25">
      <c r="C43" s="311">
        <v>0</v>
      </c>
      <c r="D43" s="287">
        <f>D35</f>
        <v>126.48095227040918</v>
      </c>
    </row>
    <row r="44" spans="2:16" x14ac:dyDescent="0.25">
      <c r="C44" s="17">
        <v>30</v>
      </c>
      <c r="D44" s="18">
        <f>D35</f>
        <v>126.48095227040918</v>
      </c>
    </row>
    <row r="45" spans="2:16" x14ac:dyDescent="0.25">
      <c r="C45" s="17"/>
      <c r="D45" s="10"/>
    </row>
    <row r="46" spans="2:16" x14ac:dyDescent="0.25">
      <c r="C46" s="683">
        <f>D36</f>
        <v>21.883180196914505</v>
      </c>
      <c r="D46" s="682">
        <f>D18</f>
        <v>0</v>
      </c>
    </row>
    <row r="47" spans="2:16" ht="13.8" thickBot="1" x14ac:dyDescent="0.3">
      <c r="C47" s="684">
        <f>D36</f>
        <v>21.883180196914505</v>
      </c>
      <c r="D47" s="685">
        <f>D33</f>
        <v>157.97066899078513</v>
      </c>
    </row>
  </sheetData>
  <phoneticPr fontId="3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Data</vt:lpstr>
      <vt:lpstr>Bulb data</vt:lpstr>
      <vt:lpstr>Rig</vt:lpstr>
      <vt:lpstr>YD 40 VCG</vt:lpstr>
      <vt:lpstr>Initial Boat Data</vt:lpstr>
      <vt:lpstr>Fixed Keel RM's</vt:lpstr>
      <vt:lpstr>Initial Rig Data</vt:lpstr>
      <vt:lpstr>Hull RM's</vt:lpstr>
      <vt:lpstr>Sail Force HM's </vt:lpstr>
      <vt:lpstr>Speed &amp; Leeway Predictor</vt:lpstr>
      <vt:lpstr>RESULTS PAGE</vt:lpstr>
      <vt:lpstr>masts</vt:lpstr>
      <vt:lpstr>Wire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Giles Barkley</dc:creator>
  <cp:lastModifiedBy>Giles Barkley</cp:lastModifiedBy>
  <cp:lastPrinted>2011-11-28T12:25:43Z</cp:lastPrinted>
  <dcterms:created xsi:type="dcterms:W3CDTF">2011-06-20T11:23:58Z</dcterms:created>
  <dcterms:modified xsi:type="dcterms:W3CDTF">2020-04-09T11:44:12Z</dcterms:modified>
</cp:coreProperties>
</file>